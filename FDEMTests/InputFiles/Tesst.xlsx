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Google Drive\IFAM\Projects\FDEM\Programs\FiberDEM_2D\FDEMTests\InputFiles\"/>
    </mc:Choice>
  </mc:AlternateContent>
  <xr:revisionPtr revIDLastSave="0" documentId="13_ncr:1_{B7602388-3F63-4E50-8590-AB66E41BD654}" xr6:coauthVersionLast="47" xr6:coauthVersionMax="47" xr10:uidLastSave="{00000000-0000-0000-0000-000000000000}"/>
  <bookViews>
    <workbookView xWindow="28680" yWindow="2895" windowWidth="29040" windowHeight="17520" xr2:uid="{00000000-000D-0000-FFFF-FFFF00000000}"/>
  </bookViews>
  <sheets>
    <sheet name="HexSv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O4" i="1"/>
  <c r="N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4" i="1"/>
  <c r="M35" i="1"/>
  <c r="M36" i="1"/>
  <c r="M42" i="1"/>
  <c r="M43" i="1"/>
  <c r="M44" i="1"/>
  <c r="M45" i="1"/>
  <c r="M46" i="1"/>
  <c r="M47" i="1"/>
  <c r="M48" i="1"/>
  <c r="M49" i="1"/>
  <c r="M50" i="1"/>
  <c r="M51" i="1"/>
  <c r="M52" i="1"/>
  <c r="M3" i="1"/>
  <c r="L26" i="1"/>
  <c r="L27" i="1"/>
  <c r="L28" i="1"/>
  <c r="L29" i="1"/>
  <c r="M29" i="1" s="1"/>
  <c r="L30" i="1"/>
  <c r="M30" i="1" s="1"/>
  <c r="L31" i="1"/>
  <c r="M31" i="1" s="1"/>
  <c r="L32" i="1"/>
  <c r="M32" i="1" s="1"/>
  <c r="L33" i="1"/>
  <c r="M33" i="1" s="1"/>
  <c r="L34" i="1"/>
  <c r="L35" i="1"/>
  <c r="L36" i="1"/>
  <c r="L37" i="1"/>
  <c r="M37" i="1" s="1"/>
  <c r="L38" i="1"/>
  <c r="M38" i="1" s="1"/>
  <c r="L39" i="1"/>
  <c r="M39" i="1" s="1"/>
  <c r="L40" i="1"/>
  <c r="M40" i="1" s="1"/>
  <c r="L41" i="1"/>
  <c r="M41" i="1" s="1"/>
  <c r="L42" i="1"/>
  <c r="L4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" i="1"/>
  <c r="S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3" i="1"/>
  <c r="I7" i="1"/>
  <c r="I8" i="1"/>
  <c r="I9" i="1"/>
  <c r="I10" i="1"/>
  <c r="I11" i="1"/>
  <c r="I15" i="1"/>
  <c r="I16" i="1"/>
  <c r="I17" i="1"/>
  <c r="I18" i="1"/>
  <c r="I19" i="1"/>
  <c r="I23" i="1"/>
  <c r="I24" i="1"/>
  <c r="I25" i="1"/>
  <c r="I26" i="1"/>
  <c r="I27" i="1"/>
  <c r="I31" i="1"/>
  <c r="I32" i="1"/>
  <c r="I33" i="1"/>
  <c r="I34" i="1"/>
  <c r="I35" i="1"/>
  <c r="I39" i="1"/>
  <c r="I40" i="1"/>
  <c r="I41" i="1"/>
  <c r="I42" i="1"/>
  <c r="I43" i="1"/>
  <c r="I47" i="1"/>
  <c r="I48" i="1"/>
  <c r="I49" i="1"/>
  <c r="I50" i="1"/>
  <c r="I51" i="1"/>
  <c r="P4" i="1"/>
  <c r="H7" i="1"/>
  <c r="H8" i="1"/>
  <c r="H15" i="1"/>
  <c r="H16" i="1"/>
  <c r="H23" i="1"/>
  <c r="H24" i="1"/>
  <c r="H31" i="1"/>
  <c r="H32" i="1"/>
  <c r="H39" i="1"/>
  <c r="H40" i="1"/>
  <c r="H47" i="1"/>
  <c r="H48" i="1"/>
  <c r="G4" i="1"/>
  <c r="I4" i="1" s="1"/>
  <c r="G5" i="1"/>
  <c r="I5" i="1" s="1"/>
  <c r="G6" i="1"/>
  <c r="I6" i="1" s="1"/>
  <c r="G7" i="1"/>
  <c r="G8" i="1"/>
  <c r="G9" i="1"/>
  <c r="H9" i="1" s="1"/>
  <c r="G10" i="1"/>
  <c r="H10" i="1" s="1"/>
  <c r="G11" i="1"/>
  <c r="H11" i="1" s="1"/>
  <c r="G12" i="1"/>
  <c r="I12" i="1" s="1"/>
  <c r="G13" i="1"/>
  <c r="I13" i="1" s="1"/>
  <c r="G14" i="1"/>
  <c r="I14" i="1" s="1"/>
  <c r="G15" i="1"/>
  <c r="G16" i="1"/>
  <c r="G17" i="1"/>
  <c r="H17" i="1" s="1"/>
  <c r="G18" i="1"/>
  <c r="H18" i="1" s="1"/>
  <c r="G19" i="1"/>
  <c r="H19" i="1" s="1"/>
  <c r="G20" i="1"/>
  <c r="I20" i="1" s="1"/>
  <c r="G21" i="1"/>
  <c r="I21" i="1" s="1"/>
  <c r="G22" i="1"/>
  <c r="I22" i="1" s="1"/>
  <c r="G23" i="1"/>
  <c r="G24" i="1"/>
  <c r="G25" i="1"/>
  <c r="H25" i="1" s="1"/>
  <c r="G26" i="1"/>
  <c r="H26" i="1" s="1"/>
  <c r="G27" i="1"/>
  <c r="H27" i="1" s="1"/>
  <c r="G28" i="1"/>
  <c r="I28" i="1" s="1"/>
  <c r="G29" i="1"/>
  <c r="I29" i="1" s="1"/>
  <c r="G30" i="1"/>
  <c r="I30" i="1" s="1"/>
  <c r="G31" i="1"/>
  <c r="G32" i="1"/>
  <c r="G33" i="1"/>
  <c r="H33" i="1" s="1"/>
  <c r="G34" i="1"/>
  <c r="H34" i="1" s="1"/>
  <c r="G35" i="1"/>
  <c r="H35" i="1" s="1"/>
  <c r="G36" i="1"/>
  <c r="I36" i="1" s="1"/>
  <c r="G37" i="1"/>
  <c r="I37" i="1" s="1"/>
  <c r="G38" i="1"/>
  <c r="I38" i="1" s="1"/>
  <c r="G39" i="1"/>
  <c r="G40" i="1"/>
  <c r="G41" i="1"/>
  <c r="H41" i="1" s="1"/>
  <c r="G42" i="1"/>
  <c r="H42" i="1" s="1"/>
  <c r="G43" i="1"/>
  <c r="H43" i="1" s="1"/>
  <c r="G44" i="1"/>
  <c r="I44" i="1" s="1"/>
  <c r="G45" i="1"/>
  <c r="I45" i="1" s="1"/>
  <c r="G46" i="1"/>
  <c r="I46" i="1" s="1"/>
  <c r="G47" i="1"/>
  <c r="G48" i="1"/>
  <c r="G49" i="1"/>
  <c r="H49" i="1" s="1"/>
  <c r="G50" i="1"/>
  <c r="H50" i="1" s="1"/>
  <c r="G51" i="1"/>
  <c r="H51" i="1" s="1"/>
  <c r="G52" i="1"/>
  <c r="I52" i="1" s="1"/>
  <c r="G3" i="1"/>
  <c r="I3" i="1" s="1"/>
  <c r="H30" i="1" l="1"/>
  <c r="H38" i="1"/>
  <c r="H21" i="1"/>
  <c r="H29" i="1"/>
  <c r="H14" i="1"/>
  <c r="H46" i="1"/>
  <c r="H22" i="1"/>
  <c r="H6" i="1"/>
  <c r="H3" i="1"/>
  <c r="H45" i="1"/>
  <c r="H37" i="1"/>
  <c r="H13" i="1"/>
  <c r="H5" i="1"/>
  <c r="H52" i="1"/>
  <c r="H44" i="1"/>
  <c r="H36" i="1"/>
  <c r="H28" i="1"/>
  <c r="H20" i="1"/>
  <c r="H12" i="1"/>
  <c r="H4" i="1"/>
</calcChain>
</file>

<file path=xl/sharedStrings.xml><?xml version="1.0" encoding="utf-8"?>
<sst xmlns="http://schemas.openxmlformats.org/spreadsheetml/2006/main" count="36" uniqueCount="27">
  <si>
    <t>LoadStep</t>
  </si>
  <si>
    <t>d0</t>
  </si>
  <si>
    <t>r</t>
  </si>
  <si>
    <t>E</t>
  </si>
  <si>
    <t>G</t>
  </si>
  <si>
    <t>zt1</t>
  </si>
  <si>
    <t>zt2</t>
  </si>
  <si>
    <t>zb1</t>
  </si>
  <si>
    <t>zb2</t>
  </si>
  <si>
    <t>D</t>
  </si>
  <si>
    <t>Strain</t>
  </si>
  <si>
    <t>Stress</t>
  </si>
  <si>
    <t>V</t>
  </si>
  <si>
    <t>Syy</t>
  </si>
  <si>
    <t>Et</t>
  </si>
  <si>
    <t>StressPredicted</t>
  </si>
  <si>
    <t>SigC</t>
  </si>
  <si>
    <t>eps_max</t>
  </si>
  <si>
    <t>Gc</t>
  </si>
  <si>
    <t>S0</t>
  </si>
  <si>
    <t>EpsC</t>
  </si>
  <si>
    <t>eps_c0</t>
  </si>
  <si>
    <t>Correct D</t>
  </si>
  <si>
    <t>Correct Sig</t>
  </si>
  <si>
    <t>Const. Relation</t>
  </si>
  <si>
    <t>eps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</si>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</sst>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PlotFDEM Stress vs 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HexSvS!$A$2:$A$52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2.9999999999999997E-4</c:v>
                </c:pt>
                <c:pt idx="3">
                  <c:v>5.9999999999999995E-4</c:v>
                </c:pt>
                <c:pt idx="4">
                  <c:v>8.9999999999999998E-4</c:v>
                </c:pt>
                <c:pt idx="5">
                  <c:v>1.1999999999999999E-3</c:v>
                </c:pt>
                <c:pt idx="6">
                  <c:v>1.4999999999999901E-3</c:v>
                </c:pt>
                <c:pt idx="7">
                  <c:v>1.79999999999999E-3</c:v>
                </c:pt>
                <c:pt idx="8">
                  <c:v>2.0999999999999999E-3</c:v>
                </c:pt>
                <c:pt idx="9">
                  <c:v>2.3999999999999998E-3</c:v>
                </c:pt>
                <c:pt idx="10">
                  <c:v>2.6999999999999902E-3</c:v>
                </c:pt>
                <c:pt idx="11">
                  <c:v>2.9999999999999901E-3</c:v>
                </c:pt>
                <c:pt idx="12">
                  <c:v>3.29999999999999E-3</c:v>
                </c:pt>
                <c:pt idx="13">
                  <c:v>3.5999999999999899E-3</c:v>
                </c:pt>
                <c:pt idx="14">
                  <c:v>3.8999999999999898E-3</c:v>
                </c:pt>
                <c:pt idx="15">
                  <c:v>4.1999999999999997E-3</c:v>
                </c:pt>
                <c:pt idx="16">
                  <c:v>4.4999999999999997E-3</c:v>
                </c:pt>
                <c:pt idx="17">
                  <c:v>4.7999999999999996E-3</c:v>
                </c:pt>
                <c:pt idx="18">
                  <c:v>5.09999999999999E-3</c:v>
                </c:pt>
                <c:pt idx="19">
                  <c:v>5.3999999999999899E-3</c:v>
                </c:pt>
                <c:pt idx="20">
                  <c:v>5.6999999999999898E-3</c:v>
                </c:pt>
                <c:pt idx="21">
                  <c:v>5.9999999999999897E-3</c:v>
                </c:pt>
                <c:pt idx="22">
                  <c:v>6.2999999999999896E-3</c:v>
                </c:pt>
                <c:pt idx="23">
                  <c:v>6.5999999999999904E-3</c:v>
                </c:pt>
                <c:pt idx="24">
                  <c:v>6.8999999999999903E-3</c:v>
                </c:pt>
                <c:pt idx="25">
                  <c:v>7.1999999999999903E-3</c:v>
                </c:pt>
                <c:pt idx="26">
                  <c:v>7.4999999999999902E-3</c:v>
                </c:pt>
                <c:pt idx="27">
                  <c:v>7.7999999999999901E-3</c:v>
                </c:pt>
                <c:pt idx="28">
                  <c:v>8.0999999999999996E-3</c:v>
                </c:pt>
                <c:pt idx="29">
                  <c:v>8.3999999999999995E-3</c:v>
                </c:pt>
                <c:pt idx="30">
                  <c:v>8.6999999999999994E-3</c:v>
                </c:pt>
                <c:pt idx="31">
                  <c:v>8.9999999999999993E-3</c:v>
                </c:pt>
                <c:pt idx="32">
                  <c:v>9.2999999999999992E-3</c:v>
                </c:pt>
                <c:pt idx="33">
                  <c:v>9.5999999999999992E-3</c:v>
                </c:pt>
                <c:pt idx="34">
                  <c:v>9.8999999999999904E-3</c:v>
                </c:pt>
                <c:pt idx="35">
                  <c:v>1.01999999999999E-2</c:v>
                </c:pt>
                <c:pt idx="36">
                  <c:v>1.04999999999999E-2</c:v>
                </c:pt>
                <c:pt idx="37">
                  <c:v>1.07999999999999E-2</c:v>
                </c:pt>
                <c:pt idx="38">
                  <c:v>1.10999999999999E-2</c:v>
                </c:pt>
                <c:pt idx="39">
                  <c:v>1.13999999999999E-2</c:v>
                </c:pt>
                <c:pt idx="40">
                  <c:v>1.16999999999999E-2</c:v>
                </c:pt>
                <c:pt idx="41">
                  <c:v>1.19999999999999E-2</c:v>
                </c:pt>
                <c:pt idx="42">
                  <c:v>1.22999999999999E-2</c:v>
                </c:pt>
                <c:pt idx="43">
                  <c:v>1.2599999999999899E-2</c:v>
                </c:pt>
                <c:pt idx="44">
                  <c:v>1.2899999999999899E-2</c:v>
                </c:pt>
                <c:pt idx="45">
                  <c:v>1.3199999999999899E-2</c:v>
                </c:pt>
                <c:pt idx="46">
                  <c:v>1.3499999999999899E-2</c:v>
                </c:pt>
                <c:pt idx="47">
                  <c:v>1.3799999999999899E-2</c:v>
                </c:pt>
                <c:pt idx="48">
                  <c:v>1.4099999999999901E-2</c:v>
                </c:pt>
                <c:pt idx="49">
                  <c:v>1.4399999999999901E-2</c:v>
                </c:pt>
                <c:pt idx="50">
                  <c:v>1.4699999999999901E-2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A-414E-A674-4EA19FC88DA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HexSvS!$B$2:$B$52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2.1440437784836699</c:v>
                </c:pt>
                <c:pt idx="3">
                  <c:v>4.2875183756289399</c:v>
                </c:pt>
                <c:pt idx="4">
                  <c:v>6.4304242961826104</c:v>
                </c:pt>
                <c:pt idx="5">
                  <c:v>8.5727620441310801</c:v>
                </c:pt>
                <c:pt idx="6">
                  <c:v>10.714532122703901</c:v>
                </c:pt>
                <c:pt idx="7">
                  <c:v>12.855735034376</c:v>
                </c:pt>
                <c:pt idx="8">
                  <c:v>14.996371280865301</c:v>
                </c:pt>
                <c:pt idx="9">
                  <c:v>17.136441363132299</c:v>
                </c:pt>
                <c:pt idx="10">
                  <c:v>19.275945781392601</c:v>
                </c:pt>
                <c:pt idx="11">
                  <c:v>21.414885035110402</c:v>
                </c:pt>
                <c:pt idx="12">
                  <c:v>23.553259622998802</c:v>
                </c:pt>
                <c:pt idx="13">
                  <c:v>25.691070043026698</c:v>
                </c:pt>
                <c:pt idx="14">
                  <c:v>27.828316792415102</c:v>
                </c:pt>
                <c:pt idx="15">
                  <c:v>29.581711801011501</c:v>
                </c:pt>
                <c:pt idx="16">
                  <c:v>6.6680720537557496</c:v>
                </c:pt>
                <c:pt idx="17">
                  <c:v>7.1121349749555698</c:v>
                </c:pt>
                <c:pt idx="18">
                  <c:v>7.5561387559265398</c:v>
                </c:pt>
                <c:pt idx="19">
                  <c:v>8.0000834425027296</c:v>
                </c:pt>
                <c:pt idx="20">
                  <c:v>8.4439690804709606</c:v>
                </c:pt>
                <c:pt idx="21">
                  <c:v>8.8877957155449092</c:v>
                </c:pt>
                <c:pt idx="22">
                  <c:v>9.3315633933683007</c:v>
                </c:pt>
                <c:pt idx="23">
                  <c:v>9.7752721595124505</c:v>
                </c:pt>
                <c:pt idx="24">
                  <c:v>10.162336283249701</c:v>
                </c:pt>
                <c:pt idx="25">
                  <c:v>10.603476323294201</c:v>
                </c:pt>
                <c:pt idx="26">
                  <c:v>10.821503015961</c:v>
                </c:pt>
                <c:pt idx="27">
                  <c:v>11.253639861656101</c:v>
                </c:pt>
                <c:pt idx="28">
                  <c:v>11.6857214543459</c:v>
                </c:pt>
                <c:pt idx="29">
                  <c:v>11.7078234421875</c:v>
                </c:pt>
                <c:pt idx="30">
                  <c:v>12.1252122050292</c:v>
                </c:pt>
                <c:pt idx="31">
                  <c:v>12.5425497863902</c:v>
                </c:pt>
                <c:pt idx="32">
                  <c:v>12.3769072581666</c:v>
                </c:pt>
                <c:pt idx="33">
                  <c:v>12.775408097703201</c:v>
                </c:pt>
                <c:pt idx="34">
                  <c:v>13.173862184615899</c:v>
                </c:pt>
                <c:pt idx="35">
                  <c:v>12.775126488570701</c:v>
                </c:pt>
                <c:pt idx="36">
                  <c:v>12.103412290200801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A-414E-A674-4EA19FC88DA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HexSvS!$C$2:$C$52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2.1440437784836699</c:v>
                </c:pt>
                <c:pt idx="3">
                  <c:v>4.2875183756289399</c:v>
                </c:pt>
                <c:pt idx="4">
                  <c:v>6.4304242961826104</c:v>
                </c:pt>
                <c:pt idx="5">
                  <c:v>8.5727620441310801</c:v>
                </c:pt>
                <c:pt idx="6">
                  <c:v>10.714532122703901</c:v>
                </c:pt>
                <c:pt idx="7">
                  <c:v>12.855735034376</c:v>
                </c:pt>
                <c:pt idx="8">
                  <c:v>14.996371280865301</c:v>
                </c:pt>
                <c:pt idx="9">
                  <c:v>17.136441363132299</c:v>
                </c:pt>
                <c:pt idx="10">
                  <c:v>19.275945781392601</c:v>
                </c:pt>
                <c:pt idx="11">
                  <c:v>21.414885035110402</c:v>
                </c:pt>
                <c:pt idx="12">
                  <c:v>23.553259622998802</c:v>
                </c:pt>
                <c:pt idx="13">
                  <c:v>25.691070043026698</c:v>
                </c:pt>
                <c:pt idx="14">
                  <c:v>27.828316792415102</c:v>
                </c:pt>
                <c:pt idx="15">
                  <c:v>29.965000367640901</c:v>
                </c:pt>
                <c:pt idx="16">
                  <c:v>32.101121264443201</c:v>
                </c:pt>
                <c:pt idx="17">
                  <c:v>34.236679977817303</c:v>
                </c:pt>
                <c:pt idx="18">
                  <c:v>36.3716770020187</c:v>
                </c:pt>
                <c:pt idx="19">
                  <c:v>38.506112830565797</c:v>
                </c:pt>
                <c:pt idx="20">
                  <c:v>40.530688844753598</c:v>
                </c:pt>
                <c:pt idx="21">
                  <c:v>42.226236619320403</c:v>
                </c:pt>
                <c:pt idx="22">
                  <c:v>44.331723871863097</c:v>
                </c:pt>
                <c:pt idx="23">
                  <c:v>9.7752721595471197</c:v>
                </c:pt>
                <c:pt idx="24">
                  <c:v>10.218922059477601</c:v>
                </c:pt>
                <c:pt idx="25">
                  <c:v>10.6625131386925</c:v>
                </c:pt>
                <c:pt idx="26">
                  <c:v>11.1060454425168</c:v>
                </c:pt>
                <c:pt idx="27">
                  <c:v>11.549519016237801</c:v>
                </c:pt>
                <c:pt idx="28">
                  <c:v>11.9929339050721</c:v>
                </c:pt>
                <c:pt idx="29">
                  <c:v>12.4362901541667</c:v>
                </c:pt>
                <c:pt idx="30">
                  <c:v>12.879587808598201</c:v>
                </c:pt>
                <c:pt idx="31">
                  <c:v>13.322826913372699</c:v>
                </c:pt>
                <c:pt idx="32">
                  <c:v>13.7660075134265</c:v>
                </c:pt>
                <c:pt idx="33">
                  <c:v>14.209129653626</c:v>
                </c:pt>
                <c:pt idx="34">
                  <c:v>14.571131422633</c:v>
                </c:pt>
                <c:pt idx="35">
                  <c:v>15.011693328588599</c:v>
                </c:pt>
                <c:pt idx="36">
                  <c:v>15.140390129396099</c:v>
                </c:pt>
                <c:pt idx="37">
                  <c:v>15.5719763330842</c:v>
                </c:pt>
                <c:pt idx="38">
                  <c:v>16.003507702243802</c:v>
                </c:pt>
                <c:pt idx="39">
                  <c:v>16.434984278305802</c:v>
                </c:pt>
                <c:pt idx="40">
                  <c:v>16.296291187826601</c:v>
                </c:pt>
                <c:pt idx="41">
                  <c:v>16.7131190631594</c:v>
                </c:pt>
                <c:pt idx="42">
                  <c:v>17.1298961775747</c:v>
                </c:pt>
                <c:pt idx="43">
                  <c:v>17.5466225688774</c:v>
                </c:pt>
                <c:pt idx="44">
                  <c:v>17.963298274881101</c:v>
                </c:pt>
                <c:pt idx="45">
                  <c:v>17.553781348079902</c:v>
                </c:pt>
                <c:pt idx="46">
                  <c:v>17.9516770934937</c:v>
                </c:pt>
                <c:pt idx="47">
                  <c:v>18.3495265331178</c:v>
                </c:pt>
                <c:pt idx="48">
                  <c:v>18.747329700862601</c:v>
                </c:pt>
                <c:pt idx="49">
                  <c:v>18.021196668237302</c:v>
                </c:pt>
                <c:pt idx="50">
                  <c:v>18.395601110028299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5A-414E-A674-4EA19FC88DA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HexSvS!$D$2:$D$52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2.1440437784836699</c:v>
                </c:pt>
                <c:pt idx="3">
                  <c:v>4.2875183756289399</c:v>
                </c:pt>
                <c:pt idx="4">
                  <c:v>6.4304242961826104</c:v>
                </c:pt>
                <c:pt idx="5">
                  <c:v>8.5727620441310801</c:v>
                </c:pt>
                <c:pt idx="6">
                  <c:v>10.714532122703901</c:v>
                </c:pt>
                <c:pt idx="7">
                  <c:v>12.855735034376</c:v>
                </c:pt>
                <c:pt idx="8">
                  <c:v>14.996371280865301</c:v>
                </c:pt>
                <c:pt idx="9">
                  <c:v>17.136441363132299</c:v>
                </c:pt>
                <c:pt idx="10">
                  <c:v>19.275945781392601</c:v>
                </c:pt>
                <c:pt idx="11">
                  <c:v>21.414885035110402</c:v>
                </c:pt>
                <c:pt idx="12">
                  <c:v>23.553259622998802</c:v>
                </c:pt>
                <c:pt idx="13">
                  <c:v>25.691070043026698</c:v>
                </c:pt>
                <c:pt idx="14">
                  <c:v>27.828316792415102</c:v>
                </c:pt>
                <c:pt idx="15">
                  <c:v>29.965000367640901</c:v>
                </c:pt>
                <c:pt idx="16">
                  <c:v>32.101121264443201</c:v>
                </c:pt>
                <c:pt idx="17">
                  <c:v>34.236679977817303</c:v>
                </c:pt>
                <c:pt idx="18">
                  <c:v>36.3716770020187</c:v>
                </c:pt>
                <c:pt idx="19">
                  <c:v>38.506112830565797</c:v>
                </c:pt>
                <c:pt idx="20">
                  <c:v>40.639987956242102</c:v>
                </c:pt>
                <c:pt idx="21">
                  <c:v>42.773302871094302</c:v>
                </c:pt>
                <c:pt idx="22">
                  <c:v>44.906058066439002</c:v>
                </c:pt>
                <c:pt idx="23">
                  <c:v>47.038254032860401</c:v>
                </c:pt>
                <c:pt idx="24">
                  <c:v>49.169891260211202</c:v>
                </c:pt>
                <c:pt idx="25">
                  <c:v>51.196178805260601</c:v>
                </c:pt>
                <c:pt idx="26">
                  <c:v>52.664138420916203</c:v>
                </c:pt>
                <c:pt idx="27">
                  <c:v>52.786768396911498</c:v>
                </c:pt>
                <c:pt idx="28">
                  <c:v>52.337091154632098</c:v>
                </c:pt>
                <c:pt idx="29">
                  <c:v>50.166258571286399</c:v>
                </c:pt>
                <c:pt idx="30">
                  <c:v>-1.10342183037095E-3</c:v>
                </c:pt>
                <c:pt idx="31">
                  <c:v>-1.2746660443153899E-3</c:v>
                </c:pt>
                <c:pt idx="32">
                  <c:v>-1.3180405079758499E-3</c:v>
                </c:pt>
                <c:pt idx="33">
                  <c:v>-1.36137262314691E-3</c:v>
                </c:pt>
                <c:pt idx="34">
                  <c:v>-1.40466768444497E-3</c:v>
                </c:pt>
                <c:pt idx="35">
                  <c:v>-1.4479235338237201E-3</c:v>
                </c:pt>
                <c:pt idx="36">
                  <c:v>-1.4911412371821299E-3</c:v>
                </c:pt>
                <c:pt idx="37">
                  <c:v>-1.53432084962046E-3</c:v>
                </c:pt>
                <c:pt idx="38">
                  <c:v>-1.5774624264894401E-3</c:v>
                </c:pt>
                <c:pt idx="39">
                  <c:v>-1.6205660236199499E-3</c:v>
                </c:pt>
                <c:pt idx="40">
                  <c:v>-1.66363169595159E-3</c:v>
                </c:pt>
                <c:pt idx="41">
                  <c:v>-1.7066594995532799E-3</c:v>
                </c:pt>
                <c:pt idx="42">
                  <c:v>-1.7496494877767899E-3</c:v>
                </c:pt>
                <c:pt idx="43">
                  <c:v>-1.79260171674378E-3</c:v>
                </c:pt>
                <c:pt idx="44">
                  <c:v>-1.83551624049026E-3</c:v>
                </c:pt>
                <c:pt idx="45">
                  <c:v>-1.8783931134944199E-3</c:v>
                </c:pt>
                <c:pt idx="46">
                  <c:v>-1.92123239039734E-3</c:v>
                </c:pt>
                <c:pt idx="47">
                  <c:v>-1.9640341240591301E-3</c:v>
                </c:pt>
                <c:pt idx="48">
                  <c:v>-2.0067983694558298E-3</c:v>
                </c:pt>
                <c:pt idx="49">
                  <c:v>-2.0495251798368298E-3</c:v>
                </c:pt>
                <c:pt idx="50">
                  <c:v>-2.0922146084004999E-3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5A-414E-A674-4EA19FC88DA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HexSvS!$E$2:$E$52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2.1440437784836699</c:v>
                </c:pt>
                <c:pt idx="3">
                  <c:v>4.2875183756289399</c:v>
                </c:pt>
                <c:pt idx="4">
                  <c:v>6.4304242961826104</c:v>
                </c:pt>
                <c:pt idx="5">
                  <c:v>8.5727620441310801</c:v>
                </c:pt>
                <c:pt idx="6">
                  <c:v>10.714532122703901</c:v>
                </c:pt>
                <c:pt idx="7">
                  <c:v>12.855735034376</c:v>
                </c:pt>
                <c:pt idx="8">
                  <c:v>14.996371280865301</c:v>
                </c:pt>
                <c:pt idx="9">
                  <c:v>17.136441363132299</c:v>
                </c:pt>
                <c:pt idx="10">
                  <c:v>19.275945781392601</c:v>
                </c:pt>
                <c:pt idx="11">
                  <c:v>21.414885035110402</c:v>
                </c:pt>
                <c:pt idx="12">
                  <c:v>23.553259622998802</c:v>
                </c:pt>
                <c:pt idx="13">
                  <c:v>25.691070043026698</c:v>
                </c:pt>
                <c:pt idx="14">
                  <c:v>27.828316792415102</c:v>
                </c:pt>
                <c:pt idx="15">
                  <c:v>29.965000367640901</c:v>
                </c:pt>
                <c:pt idx="16">
                  <c:v>32.101121264443201</c:v>
                </c:pt>
                <c:pt idx="17">
                  <c:v>34.236679977817303</c:v>
                </c:pt>
                <c:pt idx="18">
                  <c:v>36.3716770020187</c:v>
                </c:pt>
                <c:pt idx="19">
                  <c:v>38.506112830565797</c:v>
                </c:pt>
                <c:pt idx="20">
                  <c:v>40.639987956242102</c:v>
                </c:pt>
                <c:pt idx="21">
                  <c:v>42.773302871094302</c:v>
                </c:pt>
                <c:pt idx="22">
                  <c:v>44.906058066439002</c:v>
                </c:pt>
                <c:pt idx="23">
                  <c:v>47.038254032860401</c:v>
                </c:pt>
                <c:pt idx="24">
                  <c:v>49.169891260211202</c:v>
                </c:pt>
                <c:pt idx="25">
                  <c:v>51.2468028340503</c:v>
                </c:pt>
                <c:pt idx="26">
                  <c:v>53.069640690841702</c:v>
                </c:pt>
                <c:pt idx="27">
                  <c:v>54.383300082724404</c:v>
                </c:pt>
                <c:pt idx="28">
                  <c:v>55.696643268100601</c:v>
                </c:pt>
                <c:pt idx="29">
                  <c:v>56.798212662945502</c:v>
                </c:pt>
                <c:pt idx="30">
                  <c:v>57.574227670198297</c:v>
                </c:pt>
                <c:pt idx="31">
                  <c:v>58.3500772144967</c:v>
                </c:pt>
                <c:pt idx="32">
                  <c:v>59.125770089797797</c:v>
                </c:pt>
                <c:pt idx="33">
                  <c:v>59.383109955149699</c:v>
                </c:pt>
                <c:pt idx="34">
                  <c:v>59.6390658890232</c:v>
                </c:pt>
                <c:pt idx="35">
                  <c:v>59.894951716633898</c:v>
                </c:pt>
                <c:pt idx="36">
                  <c:v>59.858292629429201</c:v>
                </c:pt>
                <c:pt idx="37">
                  <c:v>59.295639499582698</c:v>
                </c:pt>
                <c:pt idx="38">
                  <c:v>57.8569978242624</c:v>
                </c:pt>
                <c:pt idx="39">
                  <c:v>56.705254767984201</c:v>
                </c:pt>
                <c:pt idx="40">
                  <c:v>-1.1679458619765E-3</c:v>
                </c:pt>
                <c:pt idx="41">
                  <c:v>-1.42220373365584E-3</c:v>
                </c:pt>
                <c:pt idx="42">
                  <c:v>-1.45803407104248E-3</c:v>
                </c:pt>
                <c:pt idx="43">
                  <c:v>-1.4938273977824501E-3</c:v>
                </c:pt>
                <c:pt idx="44">
                  <c:v>-1.52958929942492E-3</c:v>
                </c:pt>
                <c:pt idx="45">
                  <c:v>-1.5653198217350499E-3</c:v>
                </c:pt>
                <c:pt idx="46">
                  <c:v>-1.6010190101995499E-3</c:v>
                </c:pt>
                <c:pt idx="47">
                  <c:v>-1.63668690763388E-3</c:v>
                </c:pt>
                <c:pt idx="48">
                  <c:v>-1.6723235590688E-3</c:v>
                </c:pt>
                <c:pt idx="49">
                  <c:v>-1.70792900866838E-3</c:v>
                </c:pt>
                <c:pt idx="50">
                  <c:v>-1.7435032996652199E-3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5A-414E-A674-4EA19FC88DA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HexSvS!$F$2:$F$52</c:f>
              <c:numCache>
                <c:formatCode>General</c:formatCode>
                <c:ptCount val="5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5A-414E-A674-4EA19FC88DA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HexSvS!$G$2:$G$52</c:f>
              <c:numCache>
                <c:formatCode>General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5A-414E-A674-4EA19FC8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16415"/>
        <c:axId val="739617663"/>
      </c:scatterChart>
      <c:valAx>
        <c:axId val="73961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7663"/>
        <c:crosses val="autoZero"/>
        <c:crossBetween val="midCat"/>
      </c:valAx>
      <c:valAx>
        <c:axId val="7396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PlotFDEM Stress vs 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Sheet1!$D$3:$D$52</c:f>
              <c:numCache>
                <c:formatCode>General</c:formatCode>
                <c:ptCount val="50"/>
                <c:pt idx="0">
                  <c:v>2.7028428294942799</c:v>
                </c:pt>
                <c:pt idx="1">
                  <c:v>5.40488569412984</c:v>
                </c:pt>
                <c:pt idx="2">
                  <c:v>8.1061190429856396</c:v>
                </c:pt>
                <c:pt idx="3">
                  <c:v>10.8065435998537</c:v>
                </c:pt>
                <c:pt idx="4">
                  <c:v>13.5061600918767</c:v>
                </c:pt>
                <c:pt idx="5">
                  <c:v>16.204969243986898</c:v>
                </c:pt>
                <c:pt idx="6">
                  <c:v>18.902971780012201</c:v>
                </c:pt>
                <c:pt idx="7">
                  <c:v>21.600168422674599</c:v>
                </c:pt>
                <c:pt idx="8">
                  <c:v>24.2965598935907</c:v>
                </c:pt>
                <c:pt idx="9">
                  <c:v>26.992146916639999</c:v>
                </c:pt>
                <c:pt idx="10">
                  <c:v>29.686930206521001</c:v>
                </c:pt>
                <c:pt idx="11">
                  <c:v>32.380910483739697</c:v>
                </c:pt>
                <c:pt idx="12">
                  <c:v>35.074088465724003</c:v>
                </c:pt>
                <c:pt idx="13">
                  <c:v>37.766464868839897</c:v>
                </c:pt>
                <c:pt idx="14">
                  <c:v>40.458040408392897</c:v>
                </c:pt>
                <c:pt idx="15">
                  <c:v>43.148815798613697</c:v>
                </c:pt>
                <c:pt idx="16">
                  <c:v>45.8387917526736</c:v>
                </c:pt>
                <c:pt idx="17">
                  <c:v>48.527968982686701</c:v>
                </c:pt>
                <c:pt idx="18">
                  <c:v>51.216348199713202</c:v>
                </c:pt>
                <c:pt idx="19">
                  <c:v>53.903930113742497</c:v>
                </c:pt>
                <c:pt idx="20">
                  <c:v>56.590715433730701</c:v>
                </c:pt>
                <c:pt idx="21">
                  <c:v>59.276704867562998</c:v>
                </c:pt>
                <c:pt idx="22">
                  <c:v>61.961899122085804</c:v>
                </c:pt>
                <c:pt idx="23">
                  <c:v>64.393527860229895</c:v>
                </c:pt>
                <c:pt idx="24">
                  <c:v>65.773254991572401</c:v>
                </c:pt>
                <c:pt idx="25">
                  <c:v>67.075618562502399</c:v>
                </c:pt>
                <c:pt idx="26">
                  <c:v>68.268335851623902</c:v>
                </c:pt>
                <c:pt idx="27">
                  <c:v>69.3546820117392</c:v>
                </c:pt>
                <c:pt idx="28">
                  <c:v>70.348046031002198</c:v>
                </c:pt>
                <c:pt idx="29">
                  <c:v>71.224759328106799</c:v>
                </c:pt>
                <c:pt idx="30">
                  <c:v>71.983106132292306</c:v>
                </c:pt>
                <c:pt idx="31">
                  <c:v>72.627492585112705</c:v>
                </c:pt>
                <c:pt idx="32">
                  <c:v>73.154789996058099</c:v>
                </c:pt>
                <c:pt idx="33">
                  <c:v>73.5520281947706</c:v>
                </c:pt>
                <c:pt idx="34">
                  <c:v>73.816351549613699</c:v>
                </c:pt>
                <c:pt idx="35">
                  <c:v>73.945766289824505</c:v>
                </c:pt>
                <c:pt idx="36">
                  <c:v>73.927264085641099</c:v>
                </c:pt>
                <c:pt idx="37">
                  <c:v>73.722448092607905</c:v>
                </c:pt>
                <c:pt idx="38">
                  <c:v>73.363477650309804</c:v>
                </c:pt>
                <c:pt idx="39">
                  <c:v>72.821469078148795</c:v>
                </c:pt>
                <c:pt idx="40">
                  <c:v>70.178908537012902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C-47C8-A9EA-A4D9A4A902CF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SigC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Sheet1!$I$3:$I$52</c:f>
              <c:numCache>
                <c:formatCode>General</c:formatCode>
                <c:ptCount val="50"/>
                <c:pt idx="0">
                  <c:v>64.09999999999998</c:v>
                </c:pt>
                <c:pt idx="1">
                  <c:v>64.09999999999998</c:v>
                </c:pt>
                <c:pt idx="2">
                  <c:v>64.09999999999998</c:v>
                </c:pt>
                <c:pt idx="3">
                  <c:v>64.09999999999998</c:v>
                </c:pt>
                <c:pt idx="4">
                  <c:v>64.09999999999998</c:v>
                </c:pt>
                <c:pt idx="5">
                  <c:v>64.09999999999998</c:v>
                </c:pt>
                <c:pt idx="6">
                  <c:v>64.09999999999998</c:v>
                </c:pt>
                <c:pt idx="7">
                  <c:v>64.09999999999998</c:v>
                </c:pt>
                <c:pt idx="8">
                  <c:v>64.09999999999998</c:v>
                </c:pt>
                <c:pt idx="9">
                  <c:v>64.09999999999998</c:v>
                </c:pt>
                <c:pt idx="10">
                  <c:v>64.09999999999998</c:v>
                </c:pt>
                <c:pt idx="11">
                  <c:v>64.09999999999998</c:v>
                </c:pt>
                <c:pt idx="12">
                  <c:v>64.09999999999998</c:v>
                </c:pt>
                <c:pt idx="13">
                  <c:v>64.09999999999998</c:v>
                </c:pt>
                <c:pt idx="14">
                  <c:v>64.09999999999998</c:v>
                </c:pt>
                <c:pt idx="15">
                  <c:v>64.09999999999998</c:v>
                </c:pt>
                <c:pt idx="16">
                  <c:v>64.09999999999998</c:v>
                </c:pt>
                <c:pt idx="17">
                  <c:v>64.09999999999998</c:v>
                </c:pt>
                <c:pt idx="18">
                  <c:v>64.09999999999998</c:v>
                </c:pt>
                <c:pt idx="19">
                  <c:v>64.09999999999998</c:v>
                </c:pt>
                <c:pt idx="20">
                  <c:v>64.09999999999998</c:v>
                </c:pt>
                <c:pt idx="21">
                  <c:v>64.09999999999998</c:v>
                </c:pt>
                <c:pt idx="22">
                  <c:v>64.09999999999998</c:v>
                </c:pt>
                <c:pt idx="23">
                  <c:v>64.018136298985269</c:v>
                </c:pt>
                <c:pt idx="24">
                  <c:v>63.608673737638803</c:v>
                </c:pt>
                <c:pt idx="25">
                  <c:v>63.177299602655594</c:v>
                </c:pt>
                <c:pt idx="26">
                  <c:v>62.732217418323778</c:v>
                </c:pt>
                <c:pt idx="27">
                  <c:v>62.270850070538742</c:v>
                </c:pt>
                <c:pt idx="28">
                  <c:v>61.783987416906619</c:v>
                </c:pt>
                <c:pt idx="29">
                  <c:v>61.27942806349413</c:v>
                </c:pt>
                <c:pt idx="30">
                  <c:v>60.756167769870942</c:v>
                </c:pt>
                <c:pt idx="31">
                  <c:v>60.207208626922053</c:v>
                </c:pt>
                <c:pt idx="32">
                  <c:v>59.627282434687622</c:v>
                </c:pt>
                <c:pt idx="33">
                  <c:v>59.02264333087453</c:v>
                </c:pt>
                <c:pt idx="34">
                  <c:v>58.391621663187266</c:v>
                </c:pt>
                <c:pt idx="35">
                  <c:v>57.721154636105716</c:v>
                </c:pt>
                <c:pt idx="36">
                  <c:v>56.985898588383463</c:v>
                </c:pt>
                <c:pt idx="37">
                  <c:v>56.140007174360861</c:v>
                </c:pt>
                <c:pt idx="38">
                  <c:v>55.327327729281457</c:v>
                </c:pt>
                <c:pt idx="39">
                  <c:v>54.450962582927879</c:v>
                </c:pt>
                <c:pt idx="40">
                  <c:v>51.591245006484549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7C-47C8-A9EA-A4D9A4A902CF}"/>
            </c:ext>
          </c:extLst>
        </c:ser>
        <c:ser>
          <c:idx val="2"/>
          <c:order val="2"/>
          <c:tx>
            <c:strRef>
              <c:f>Sheet1!$M$2</c:f>
              <c:strCache>
                <c:ptCount val="1"/>
                <c:pt idx="0">
                  <c:v>Correct Sig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Sheet1!$M$3:$M$52</c:f>
              <c:numCache>
                <c:formatCode>General</c:formatCode>
                <c:ptCount val="50"/>
                <c:pt idx="0">
                  <c:v>2.7028428294942719</c:v>
                </c:pt>
                <c:pt idx="1">
                  <c:v>5.4048856941298302</c:v>
                </c:pt>
                <c:pt idx="2">
                  <c:v>8.1061190429856431</c:v>
                </c:pt>
                <c:pt idx="3">
                  <c:v>10.806543599853711</c:v>
                </c:pt>
                <c:pt idx="4">
                  <c:v>13.506160091876669</c:v>
                </c:pt>
                <c:pt idx="5">
                  <c:v>16.204969243986874</c:v>
                </c:pt>
                <c:pt idx="6">
                  <c:v>18.902971780012141</c:v>
                </c:pt>
                <c:pt idx="7">
                  <c:v>21.600168422674617</c:v>
                </c:pt>
                <c:pt idx="8">
                  <c:v>24.296559893590651</c:v>
                </c:pt>
                <c:pt idx="9">
                  <c:v>26.99214691664006</c:v>
                </c:pt>
                <c:pt idx="10">
                  <c:v>29.686930206521005</c:v>
                </c:pt>
                <c:pt idx="11">
                  <c:v>32.38091048373969</c:v>
                </c:pt>
                <c:pt idx="12">
                  <c:v>35.074088465723925</c:v>
                </c:pt>
                <c:pt idx="13">
                  <c:v>37.766464868839968</c:v>
                </c:pt>
                <c:pt idx="14">
                  <c:v>40.458040408392776</c:v>
                </c:pt>
                <c:pt idx="15">
                  <c:v>43.148815798613583</c:v>
                </c:pt>
                <c:pt idx="16">
                  <c:v>45.838791752673558</c:v>
                </c:pt>
                <c:pt idx="17">
                  <c:v>48.527968982686581</c:v>
                </c:pt>
                <c:pt idx="18">
                  <c:v>51.216348199713352</c:v>
                </c:pt>
                <c:pt idx="19">
                  <c:v>53.903930113742398</c:v>
                </c:pt>
                <c:pt idx="20">
                  <c:v>56.590715433730701</c:v>
                </c:pt>
                <c:pt idx="21">
                  <c:v>59.276704867563033</c:v>
                </c:pt>
                <c:pt idx="22">
                  <c:v>61.961899122085704</c:v>
                </c:pt>
                <c:pt idx="23">
                  <c:v>63.842833867361584</c:v>
                </c:pt>
                <c:pt idx="24">
                  <c:v>62.57740480226272</c:v>
                </c:pt>
                <c:pt idx="25">
                  <c:v>61.280728893922614</c:v>
                </c:pt>
                <c:pt idx="26">
                  <c:v>59.980453190930213</c:v>
                </c:pt>
                <c:pt idx="27">
                  <c:v>58.671212492176366</c:v>
                </c:pt>
                <c:pt idx="28">
                  <c:v>57.330397009988523</c:v>
                </c:pt>
                <c:pt idx="29">
                  <c:v>55.98305928250673</c:v>
                </c:pt>
                <c:pt idx="30">
                  <c:v>54.629096826758115</c:v>
                </c:pt>
                <c:pt idx="31">
                  <c:v>53.253822815418218</c:v>
                </c:pt>
                <c:pt idx="32">
                  <c:v>51.848804390453097</c:v>
                </c:pt>
                <c:pt idx="33">
                  <c:v>50.433646350027878</c:v>
                </c:pt>
                <c:pt idx="34">
                  <c:v>49.008115179208858</c:v>
                </c:pt>
                <c:pt idx="35">
                  <c:v>47.547940354065389</c:v>
                </c:pt>
                <c:pt idx="36">
                  <c:v>46.007620390107085</c:v>
                </c:pt>
                <c:pt idx="37">
                  <c:v>44.309702716466731</c:v>
                </c:pt>
                <c:pt idx="38">
                  <c:v>42.748566570775928</c:v>
                </c:pt>
                <c:pt idx="39">
                  <c:v>41.137146280193583</c:v>
                </c:pt>
                <c:pt idx="40">
                  <c:v>36.3430146499717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7C-47C8-A9EA-A4D9A4A902CF}"/>
            </c:ext>
          </c:extLst>
        </c:ser>
        <c:ser>
          <c:idx val="3"/>
          <c:order val="3"/>
          <c:tx>
            <c:strRef>
              <c:f>Sheet1!$N$2</c:f>
              <c:strCache>
                <c:ptCount val="1"/>
                <c:pt idx="0">
                  <c:v>Const. Relation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Sheet1!$N$3:$N$5</c:f>
              <c:numCache>
                <c:formatCode>General</c:formatCode>
                <c:ptCount val="3"/>
                <c:pt idx="0">
                  <c:v>0</c:v>
                </c:pt>
                <c:pt idx="1">
                  <c:v>2.5825946817082994E-2</c:v>
                </c:pt>
                <c:pt idx="2">
                  <c:v>8.1352241145837181E-2</c:v>
                </c:pt>
              </c:numCache>
            </c:numRef>
          </c:xVal>
          <c:yVal>
            <c:numRef>
              <c:f>Sheet1!$O$3:$O$5</c:f>
              <c:numCache>
                <c:formatCode>General</c:formatCode>
                <c:ptCount val="3"/>
                <c:pt idx="0">
                  <c:v>0</c:v>
                </c:pt>
                <c:pt idx="1">
                  <c:v>64.099999999999994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7C-47C8-A9EA-A4D9A4A90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16415"/>
        <c:axId val="739617663"/>
      </c:scatterChart>
      <c:valAx>
        <c:axId val="73961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7663"/>
        <c:crosses val="autoZero"/>
        <c:crossBetween val="midCat"/>
      </c:valAx>
      <c:valAx>
        <c:axId val="7396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Outputfile</a:t>
            </a:r>
            <a:r>
              <a:rPr lang="en-US" baseline="0"/>
              <a:t> D vs Calc 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Sheet1!$B$3:$B$52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4.0119521472453002E-3</c:v>
                </c:pt>
                <c:pt idx="24">
                  <c:v>2.3753435222118799E-2</c:v>
                </c:pt>
                <c:pt idx="25">
                  <c:v>4.3982388550364897E-2</c:v>
                </c:pt>
                <c:pt idx="26">
                  <c:v>6.4267500921534604E-2</c:v>
                </c:pt>
                <c:pt idx="27">
                  <c:v>8.4692472820977305E-2</c:v>
                </c:pt>
                <c:pt idx="28">
                  <c:v>0.105610031045428</c:v>
                </c:pt>
                <c:pt idx="29">
                  <c:v>0.12662934036651799</c:v>
                </c:pt>
                <c:pt idx="30">
                  <c:v>0.147751999582556</c:v>
                </c:pt>
                <c:pt idx="31">
                  <c:v>0.16920713236477</c:v>
                </c:pt>
                <c:pt idx="32">
                  <c:v>0.191126296560793</c:v>
                </c:pt>
                <c:pt idx="33">
                  <c:v>0.21320364508536899</c:v>
                </c:pt>
                <c:pt idx="34">
                  <c:v>0.235442820917178</c:v>
                </c:pt>
                <c:pt idx="35">
                  <c:v>0.25822245937495503</c:v>
                </c:pt>
                <c:pt idx="36">
                  <c:v>0.28225241201081103</c:v>
                </c:pt>
                <c:pt idx="37">
                  <c:v>0.30874098726261001</c:v>
                </c:pt>
                <c:pt idx="38">
                  <c:v>0.33309568532330902</c:v>
                </c:pt>
                <c:pt idx="39">
                  <c:v>0.35823484742287698</c:v>
                </c:pt>
                <c:pt idx="40">
                  <c:v>0.43302629251214297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E7-4152-AAFE-C8FF48D53970}"/>
            </c:ext>
          </c:extLst>
        </c:ser>
        <c:ser>
          <c:idx val="3"/>
          <c:order val="1"/>
          <c:tx>
            <c:strRef>
              <c:f>Sheet1!$K$2</c:f>
              <c:strCache>
                <c:ptCount val="1"/>
                <c:pt idx="0">
                  <c:v>D</c:v>
                </c:pt>
              </c:strCache>
            </c:strRef>
          </c:tx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Sheet1!$K$3:$K$52</c:f>
              <c:numCache>
                <c:formatCode>General</c:formatCode>
                <c:ptCount val="50"/>
                <c:pt idx="0">
                  <c:v>-0.44550008864032298</c:v>
                </c:pt>
                <c:pt idx="1">
                  <c:v>-0.42589396367981158</c:v>
                </c:pt>
                <c:pt idx="2">
                  <c:v>-0.40629371259633706</c:v>
                </c:pt>
                <c:pt idx="3">
                  <c:v>-0.38669933013803731</c:v>
                </c:pt>
                <c:pt idx="4">
                  <c:v>-0.36711081102873799</c:v>
                </c:pt>
                <c:pt idx="5">
                  <c:v>-0.34752815000830256</c:v>
                </c:pt>
                <c:pt idx="6">
                  <c:v>-0.32795134182460906</c:v>
                </c:pt>
                <c:pt idx="7">
                  <c:v>-0.30838038123355832</c:v>
                </c:pt>
                <c:pt idx="8">
                  <c:v>-0.28881526299907495</c:v>
                </c:pt>
                <c:pt idx="9">
                  <c:v>-0.26925598186865962</c:v>
                </c:pt>
                <c:pt idx="10">
                  <c:v>-0.24970253265643552</c:v>
                </c:pt>
                <c:pt idx="11">
                  <c:v>-0.23015491013438252</c:v>
                </c:pt>
                <c:pt idx="12">
                  <c:v>-0.2106131090968173</c:v>
                </c:pt>
                <c:pt idx="13">
                  <c:v>-0.1910771243457593</c:v>
                </c:pt>
                <c:pt idx="14">
                  <c:v>-0.17154695069092879</c:v>
                </c:pt>
                <c:pt idx="15">
                  <c:v>-0.15202258294983692</c:v>
                </c:pt>
                <c:pt idx="16">
                  <c:v>-0.13250401594768679</c:v>
                </c:pt>
                <c:pt idx="17">
                  <c:v>-0.11299124451735332</c:v>
                </c:pt>
                <c:pt idx="18">
                  <c:v>-9.3484263499353126E-2</c:v>
                </c:pt>
                <c:pt idx="19">
                  <c:v>-7.3983067741982739E-2</c:v>
                </c:pt>
                <c:pt idx="20">
                  <c:v>-5.4487652101023534E-2</c:v>
                </c:pt>
                <c:pt idx="21">
                  <c:v>-3.4998011440036891E-2</c:v>
                </c:pt>
                <c:pt idx="22">
                  <c:v>-1.5514140630119381E-2</c:v>
                </c:pt>
                <c:pt idx="23">
                  <c:v>4.0119521472450495E-3</c:v>
                </c:pt>
                <c:pt idx="24">
                  <c:v>2.3753435222110507E-2</c:v>
                </c:pt>
                <c:pt idx="25">
                  <c:v>4.3982388550348958E-2</c:v>
                </c:pt>
                <c:pt idx="26">
                  <c:v>6.4267500921525514E-2</c:v>
                </c:pt>
                <c:pt idx="27">
                  <c:v>8.4692472820961193E-2</c:v>
                </c:pt>
                <c:pt idx="28">
                  <c:v>0.10561003104542084</c:v>
                </c:pt>
                <c:pt idx="29">
                  <c:v>0.12662934036650958</c:v>
                </c:pt>
                <c:pt idx="30">
                  <c:v>0.14775199958255661</c:v>
                </c:pt>
                <c:pt idx="31">
                  <c:v>0.16920713236477034</c:v>
                </c:pt>
                <c:pt idx="32">
                  <c:v>0.191126296560794</c:v>
                </c:pt>
                <c:pt idx="33">
                  <c:v>0.21320364508536832</c:v>
                </c:pt>
                <c:pt idx="34">
                  <c:v>0.2354428209171783</c:v>
                </c:pt>
                <c:pt idx="35">
                  <c:v>0.25822245937495475</c:v>
                </c:pt>
                <c:pt idx="36">
                  <c:v>0.28225241201080964</c:v>
                </c:pt>
                <c:pt idx="37">
                  <c:v>0.30874098726260951</c:v>
                </c:pt>
                <c:pt idx="38">
                  <c:v>0.33309568532330835</c:v>
                </c:pt>
                <c:pt idx="39">
                  <c:v>0.35823484742287681</c:v>
                </c:pt>
                <c:pt idx="40">
                  <c:v>0.43302629251214203</c:v>
                </c:pt>
                <c:pt idx="41">
                  <c:v>3.6120551674941916</c:v>
                </c:pt>
                <c:pt idx="42">
                  <c:v>3.7085156873989455</c:v>
                </c:pt>
                <c:pt idx="43">
                  <c:v>3.8049485531293556</c:v>
                </c:pt>
                <c:pt idx="44">
                  <c:v>3.9013532372409512</c:v>
                </c:pt>
                <c:pt idx="45">
                  <c:v>3.9977297644058978</c:v>
                </c:pt>
                <c:pt idx="46">
                  <c:v>4.0940781592810005</c:v>
                </c:pt>
                <c:pt idx="47">
                  <c:v>4.1903984464874782</c:v>
                </c:pt>
                <c:pt idx="48">
                  <c:v>4.2866906506102582</c:v>
                </c:pt>
                <c:pt idx="49">
                  <c:v>4.3829547961986126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E7-4152-AAFE-C8FF48D53970}"/>
            </c:ext>
          </c:extLst>
        </c:ser>
        <c:ser>
          <c:idx val="1"/>
          <c:order val="2"/>
          <c:tx>
            <c:strRef>
              <c:f>Sheet1!$L$1</c:f>
              <c:strCache>
                <c:ptCount val="1"/>
                <c:pt idx="0">
                  <c:v>Correct 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1.08897777175434E-3</c:v>
                </c:pt>
                <c:pt idx="1">
                  <c:v>2.17763323695803E-3</c:v>
                </c:pt>
                <c:pt idx="2">
                  <c:v>3.2659625475365199E-3</c:v>
                </c:pt>
                <c:pt idx="3">
                  <c:v>4.3539659951062496E-3</c:v>
                </c:pt>
                <c:pt idx="4">
                  <c:v>5.4416438726336298E-3</c:v>
                </c:pt>
                <c:pt idx="5">
                  <c:v>6.5289964721945504E-3</c:v>
                </c:pt>
                <c:pt idx="6">
                  <c:v>7.6160240854198803E-3</c:v>
                </c:pt>
                <c:pt idx="7">
                  <c:v>8.7027270034950102E-3</c:v>
                </c:pt>
                <c:pt idx="8">
                  <c:v>9.7891055171598108E-3</c:v>
                </c:pt>
                <c:pt idx="9">
                  <c:v>1.0875159918066099E-2</c:v>
                </c:pt>
                <c:pt idx="10">
                  <c:v>1.1960890494166401E-2</c:v>
                </c:pt>
                <c:pt idx="11">
                  <c:v>1.3046297535753299E-2</c:v>
                </c:pt>
                <c:pt idx="12">
                  <c:v>1.4131381331879101E-2</c:v>
                </c:pt>
                <c:pt idx="13">
                  <c:v>1.5216142171168401E-2</c:v>
                </c:pt>
                <c:pt idx="14">
                  <c:v>1.6300580341818201E-2</c:v>
                </c:pt>
                <c:pt idx="15">
                  <c:v>1.7384696131592901E-2</c:v>
                </c:pt>
                <c:pt idx="16">
                  <c:v>1.8468489827829799E-2</c:v>
                </c:pt>
                <c:pt idx="17">
                  <c:v>1.9551961717440201E-2</c:v>
                </c:pt>
                <c:pt idx="18">
                  <c:v>2.06351120869111E-2</c:v>
                </c:pt>
                <c:pt idx="19">
                  <c:v>2.1717941222297501E-2</c:v>
                </c:pt>
                <c:pt idx="20">
                  <c:v>2.28004494092388E-2</c:v>
                </c:pt>
                <c:pt idx="21">
                  <c:v>2.3882636932942399E-2</c:v>
                </c:pt>
                <c:pt idx="22">
                  <c:v>2.4964504078197301E-2</c:v>
                </c:pt>
                <c:pt idx="23">
                  <c:v>2.60487156528438E-2</c:v>
                </c:pt>
                <c:pt idx="24">
                  <c:v>2.7144887052544898E-2</c:v>
                </c:pt>
                <c:pt idx="25">
                  <c:v>2.8268125869011299E-2</c:v>
                </c:pt>
                <c:pt idx="26">
                  <c:v>2.9394482989025101E-2</c:v>
                </c:pt>
                <c:pt idx="27">
                  <c:v>3.05286059903697E-2</c:v>
                </c:pt>
                <c:pt idx="28">
                  <c:v>3.1690080484979899E-2</c:v>
                </c:pt>
                <c:pt idx="29">
                  <c:v>3.2857204840929799E-2</c:v>
                </c:pt>
                <c:pt idx="30">
                  <c:v>3.4030067833565998E-2</c:v>
                </c:pt>
                <c:pt idx="31">
                  <c:v>3.52213918512937E-2</c:v>
                </c:pt>
                <c:pt idx="32">
                  <c:v>3.6438481813882401E-2</c:v>
                </c:pt>
                <c:pt idx="33">
                  <c:v>3.7664355166056401E-2</c:v>
                </c:pt>
                <c:pt idx="34">
                  <c:v>3.88992141889224E-2</c:v>
                </c:pt>
                <c:pt idx="35">
                  <c:v>4.0164083098631502E-2</c:v>
                </c:pt>
                <c:pt idx="36">
                  <c:v>4.1498377321396003E-2</c:v>
                </c:pt>
                <c:pt idx="37">
                  <c:v>4.2969189747176798E-2</c:v>
                </c:pt>
                <c:pt idx="38">
                  <c:v>4.4321515879983099E-2</c:v>
                </c:pt>
                <c:pt idx="39">
                  <c:v>4.5717400393902E-2</c:v>
                </c:pt>
                <c:pt idx="40">
                  <c:v>4.9870292187201397E-2</c:v>
                </c:pt>
                <c:pt idx="41">
                  <c:v>0.226389985179063</c:v>
                </c:pt>
                <c:pt idx="42">
                  <c:v>0.231746080398399</c:v>
                </c:pt>
                <c:pt idx="43">
                  <c:v>0.23710064008391099</c:v>
                </c:pt>
                <c:pt idx="44">
                  <c:v>0.24245363494856201</c:v>
                </c:pt>
                <c:pt idx="45">
                  <c:v>0.24780506636230601</c:v>
                </c:pt>
                <c:pt idx="46">
                  <c:v>0.25315493569424402</c:v>
                </c:pt>
                <c:pt idx="47">
                  <c:v>0.25850324431150101</c:v>
                </c:pt>
                <c:pt idx="48">
                  <c:v>0.26384999357918698</c:v>
                </c:pt>
                <c:pt idx="49">
                  <c:v>0.26919518486043198</c:v>
                </c:pt>
              </c:numCache>
            </c:numRef>
          </c:xVal>
          <c:yVal>
            <c:numRef>
              <c:f>Sheet1!$L$3:$L$52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1.2529650325105668E-2</c:v>
                </c:pt>
                <c:pt idx="24">
                  <c:v>7.1188183118632065E-2</c:v>
                </c:pt>
                <c:pt idx="25">
                  <c:v>0.12657598512536428</c:v>
                </c:pt>
                <c:pt idx="26">
                  <c:v>0.17786688865255174</c:v>
                </c:pt>
                <c:pt idx="27">
                  <c:v>0.22568742491358884</c:v>
                </c:pt>
                <c:pt idx="28">
                  <c:v>0.27111362866681832</c:v>
                </c:pt>
                <c:pt idx="29">
                  <c:v>0.31352577565581696</c:v>
                </c:pt>
                <c:pt idx="30">
                  <c:v>0.35321576079738926</c:v>
                </c:pt>
                <c:pt idx="31">
                  <c:v>0.39082440279056652</c:v>
                </c:pt>
                <c:pt idx="32">
                  <c:v>0.42670692611569749</c:v>
                </c:pt>
                <c:pt idx="33">
                  <c:v>0.46050421603361313</c:v>
                </c:pt>
                <c:pt idx="34">
                  <c:v>0.49239558028822628</c:v>
                </c:pt>
                <c:pt idx="35">
                  <c:v>0.52302888958663241</c:v>
                </c:pt>
                <c:pt idx="36">
                  <c:v>0.55331961797115259</c:v>
                </c:pt>
                <c:pt idx="37">
                  <c:v>0.58452978506633113</c:v>
                </c:pt>
                <c:pt idx="38">
                  <c:v>0.61139787254654732</c:v>
                </c:pt>
                <c:pt idx="39">
                  <c:v>0.63746423557091236</c:v>
                </c:pt>
                <c:pt idx="40">
                  <c:v>0.70638566220344612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E7-4152-AAFE-C8FF48D5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16415"/>
        <c:axId val="739617663"/>
      </c:scatterChart>
      <c:valAx>
        <c:axId val="73961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7663"/>
        <c:crosses val="autoZero"/>
        <c:crossBetween val="midCat"/>
      </c:valAx>
      <c:valAx>
        <c:axId val="739617663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1641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7</xdr:row>
      <xdr:rowOff>76200</xdr:rowOff>
    </xdr:from>
    <xdr:to>
      <xdr:col>13</xdr:col>
      <xdr:colOff>333375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2701A-84E3-4FE7-814B-F71D8C38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</xdr:colOff>
      <xdr:row>7</xdr:row>
      <xdr:rowOff>76200</xdr:rowOff>
    </xdr:from>
    <xdr:to>
      <xdr:col>22</xdr:col>
      <xdr:colOff>333375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53CDB-9AE8-4A64-9042-CE0A76762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22</xdr:col>
      <xdr:colOff>304800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9F36D-26F8-4C5F-9D98-8B11AFEAC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BC09-DC4E-4570-827D-6B6663E85A97}">
  <dimension ref="A1:F53"/>
  <sheetViews>
    <sheetView tabSelected="1" workbookViewId="0">
      <selection activeCell="R15" sqref="R15"/>
    </sheetView>
  </sheetViews>
  <sheetFormatPr defaultRowHeight="15" x14ac:dyDescent="0.25"/>
  <sheetData>
    <row r="1" spans="1:6" x14ac:dyDescent="0.25">
      <c r="A1" t="s">
        <v>4</v>
      </c>
      <c r="B1">
        <v>0.5</v>
      </c>
      <c r="C1">
        <v>1</v>
      </c>
      <c r="D1">
        <v>2</v>
      </c>
      <c r="E1">
        <v>4</v>
      </c>
    </row>
    <row r="2" spans="1:6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</row>
    <row r="4" spans="1:6" x14ac:dyDescent="0.25">
      <c r="A4">
        <v>2.9999999999999997E-4</v>
      </c>
      <c r="B4">
        <v>2.1440437784836699</v>
      </c>
      <c r="C4">
        <v>2.1440437784836699</v>
      </c>
      <c r="D4">
        <v>2.1440437784836699</v>
      </c>
      <c r="E4">
        <v>2.1440437784836699</v>
      </c>
    </row>
    <row r="5" spans="1:6" x14ac:dyDescent="0.25">
      <c r="A5">
        <v>5.9999999999999995E-4</v>
      </c>
      <c r="B5">
        <v>4.2875183756289399</v>
      </c>
      <c r="C5">
        <v>4.2875183756289399</v>
      </c>
      <c r="D5">
        <v>4.2875183756289399</v>
      </c>
      <c r="E5">
        <v>4.2875183756289399</v>
      </c>
    </row>
    <row r="6" spans="1:6" x14ac:dyDescent="0.25">
      <c r="A6">
        <v>8.9999999999999998E-4</v>
      </c>
      <c r="B6">
        <v>6.4304242961826104</v>
      </c>
      <c r="C6">
        <v>6.4304242961826104</v>
      </c>
      <c r="D6">
        <v>6.4304242961826104</v>
      </c>
      <c r="E6">
        <v>6.4304242961826104</v>
      </c>
    </row>
    <row r="7" spans="1:6" x14ac:dyDescent="0.25">
      <c r="A7">
        <v>1.1999999999999999E-3</v>
      </c>
      <c r="B7">
        <v>8.5727620441310801</v>
      </c>
      <c r="C7">
        <v>8.5727620441310801</v>
      </c>
      <c r="D7">
        <v>8.5727620441310801</v>
      </c>
      <c r="E7">
        <v>8.5727620441310801</v>
      </c>
    </row>
    <row r="8" spans="1:6" x14ac:dyDescent="0.25">
      <c r="A8">
        <v>1.4999999999999901E-3</v>
      </c>
      <c r="B8">
        <v>10.714532122703901</v>
      </c>
      <c r="C8">
        <v>10.714532122703901</v>
      </c>
      <c r="D8">
        <v>10.714532122703901</v>
      </c>
      <c r="E8">
        <v>10.714532122703901</v>
      </c>
    </row>
    <row r="9" spans="1:6" x14ac:dyDescent="0.25">
      <c r="A9">
        <v>1.79999999999999E-3</v>
      </c>
      <c r="B9">
        <v>12.855735034376</v>
      </c>
      <c r="C9">
        <v>12.855735034376</v>
      </c>
      <c r="D9">
        <v>12.855735034376</v>
      </c>
      <c r="E9">
        <v>12.855735034376</v>
      </c>
    </row>
    <row r="10" spans="1:6" x14ac:dyDescent="0.25">
      <c r="A10">
        <v>2.0999999999999999E-3</v>
      </c>
      <c r="B10">
        <v>14.996371280865301</v>
      </c>
      <c r="C10">
        <v>14.996371280865301</v>
      </c>
      <c r="D10">
        <v>14.996371280865301</v>
      </c>
      <c r="E10">
        <v>14.996371280865301</v>
      </c>
    </row>
    <row r="11" spans="1:6" x14ac:dyDescent="0.25">
      <c r="A11">
        <v>2.3999999999999998E-3</v>
      </c>
      <c r="B11">
        <v>17.136441363132299</v>
      </c>
      <c r="C11">
        <v>17.136441363132299</v>
      </c>
      <c r="D11">
        <v>17.136441363132299</v>
      </c>
      <c r="E11">
        <v>17.136441363132299</v>
      </c>
    </row>
    <row r="12" spans="1:6" x14ac:dyDescent="0.25">
      <c r="A12">
        <v>2.6999999999999902E-3</v>
      </c>
      <c r="B12">
        <v>19.275945781392601</v>
      </c>
      <c r="C12">
        <v>19.275945781392601</v>
      </c>
      <c r="D12">
        <v>19.275945781392601</v>
      </c>
      <c r="E12">
        <v>19.275945781392601</v>
      </c>
    </row>
    <row r="13" spans="1:6" x14ac:dyDescent="0.25">
      <c r="A13">
        <v>2.9999999999999901E-3</v>
      </c>
      <c r="B13">
        <v>21.414885035110402</v>
      </c>
      <c r="C13">
        <v>21.414885035110402</v>
      </c>
      <c r="D13">
        <v>21.414885035110402</v>
      </c>
      <c r="E13">
        <v>21.414885035110402</v>
      </c>
    </row>
    <row r="14" spans="1:6" x14ac:dyDescent="0.25">
      <c r="A14">
        <v>3.29999999999999E-3</v>
      </c>
      <c r="B14">
        <v>23.553259622998802</v>
      </c>
      <c r="C14">
        <v>23.553259622998802</v>
      </c>
      <c r="D14">
        <v>23.553259622998802</v>
      </c>
      <c r="E14">
        <v>23.553259622998802</v>
      </c>
    </row>
    <row r="15" spans="1:6" x14ac:dyDescent="0.25">
      <c r="A15">
        <v>3.5999999999999899E-3</v>
      </c>
      <c r="B15">
        <v>25.691070043026698</v>
      </c>
      <c r="C15">
        <v>25.691070043026698</v>
      </c>
      <c r="D15">
        <v>25.691070043026698</v>
      </c>
      <c r="E15">
        <v>25.691070043026698</v>
      </c>
    </row>
    <row r="16" spans="1:6" x14ac:dyDescent="0.25">
      <c r="A16">
        <v>3.8999999999999898E-3</v>
      </c>
      <c r="B16">
        <v>27.828316792415102</v>
      </c>
      <c r="C16">
        <v>27.828316792415102</v>
      </c>
      <c r="D16">
        <v>27.828316792415102</v>
      </c>
      <c r="E16">
        <v>27.828316792415102</v>
      </c>
    </row>
    <row r="17" spans="1:5" x14ac:dyDescent="0.25">
      <c r="A17">
        <v>4.1999999999999997E-3</v>
      </c>
      <c r="B17">
        <v>29.581711801011501</v>
      </c>
      <c r="C17">
        <v>29.965000367640901</v>
      </c>
      <c r="D17">
        <v>29.965000367640901</v>
      </c>
      <c r="E17">
        <v>29.965000367640901</v>
      </c>
    </row>
    <row r="18" spans="1:5" x14ac:dyDescent="0.25">
      <c r="A18">
        <v>4.4999999999999997E-3</v>
      </c>
      <c r="B18">
        <v>6.6680720537557496</v>
      </c>
      <c r="C18">
        <v>32.101121264443201</v>
      </c>
      <c r="D18">
        <v>32.101121264443201</v>
      </c>
      <c r="E18">
        <v>32.101121264443201</v>
      </c>
    </row>
    <row r="19" spans="1:5" x14ac:dyDescent="0.25">
      <c r="A19">
        <v>4.7999999999999996E-3</v>
      </c>
      <c r="B19">
        <v>7.1121349749555698</v>
      </c>
      <c r="C19">
        <v>34.236679977817303</v>
      </c>
      <c r="D19">
        <v>34.236679977817303</v>
      </c>
      <c r="E19">
        <v>34.236679977817303</v>
      </c>
    </row>
    <row r="20" spans="1:5" x14ac:dyDescent="0.25">
      <c r="A20">
        <v>5.09999999999999E-3</v>
      </c>
      <c r="B20">
        <v>7.5561387559265398</v>
      </c>
      <c r="C20">
        <v>36.3716770020187</v>
      </c>
      <c r="D20">
        <v>36.3716770020187</v>
      </c>
      <c r="E20">
        <v>36.3716770020187</v>
      </c>
    </row>
    <row r="21" spans="1:5" x14ac:dyDescent="0.25">
      <c r="A21">
        <v>5.3999999999999899E-3</v>
      </c>
      <c r="B21">
        <v>8.0000834425027296</v>
      </c>
      <c r="C21">
        <v>38.506112830565797</v>
      </c>
      <c r="D21">
        <v>38.506112830565797</v>
      </c>
      <c r="E21">
        <v>38.506112830565797</v>
      </c>
    </row>
    <row r="22" spans="1:5" x14ac:dyDescent="0.25">
      <c r="A22">
        <v>5.6999999999999898E-3</v>
      </c>
      <c r="B22">
        <v>8.4439690804709606</v>
      </c>
      <c r="C22">
        <v>40.530688844753598</v>
      </c>
      <c r="D22">
        <v>40.639987956242102</v>
      </c>
      <c r="E22">
        <v>40.639987956242102</v>
      </c>
    </row>
    <row r="23" spans="1:5" x14ac:dyDescent="0.25">
      <c r="A23">
        <v>5.9999999999999897E-3</v>
      </c>
      <c r="B23">
        <v>8.8877957155449092</v>
      </c>
      <c r="C23">
        <v>42.226236619320403</v>
      </c>
      <c r="D23">
        <v>42.773302871094302</v>
      </c>
      <c r="E23">
        <v>42.773302871094302</v>
      </c>
    </row>
    <row r="24" spans="1:5" x14ac:dyDescent="0.25">
      <c r="A24">
        <v>6.2999999999999896E-3</v>
      </c>
      <c r="B24">
        <v>9.3315633933683007</v>
      </c>
      <c r="C24">
        <v>44.331723871863097</v>
      </c>
      <c r="D24">
        <v>44.906058066439002</v>
      </c>
      <c r="E24">
        <v>44.906058066439002</v>
      </c>
    </row>
    <row r="25" spans="1:5" x14ac:dyDescent="0.25">
      <c r="A25">
        <v>6.5999999999999904E-3</v>
      </c>
      <c r="B25">
        <v>9.7752721595124505</v>
      </c>
      <c r="C25">
        <v>9.7752721595471197</v>
      </c>
      <c r="D25">
        <v>47.038254032860401</v>
      </c>
      <c r="E25">
        <v>47.038254032860401</v>
      </c>
    </row>
    <row r="26" spans="1:5" x14ac:dyDescent="0.25">
      <c r="A26">
        <v>6.8999999999999903E-3</v>
      </c>
      <c r="B26">
        <v>10.162336283249701</v>
      </c>
      <c r="C26">
        <v>10.218922059477601</v>
      </c>
      <c r="D26">
        <v>49.169891260211202</v>
      </c>
      <c r="E26">
        <v>49.169891260211202</v>
      </c>
    </row>
    <row r="27" spans="1:5" x14ac:dyDescent="0.25">
      <c r="A27">
        <v>7.1999999999999903E-3</v>
      </c>
      <c r="B27">
        <v>10.603476323294201</v>
      </c>
      <c r="C27">
        <v>10.6625131386925</v>
      </c>
      <c r="D27">
        <v>51.196178805260601</v>
      </c>
      <c r="E27">
        <v>51.2468028340503</v>
      </c>
    </row>
    <row r="28" spans="1:5" x14ac:dyDescent="0.25">
      <c r="A28">
        <v>7.4999999999999902E-3</v>
      </c>
      <c r="B28">
        <v>10.821503015961</v>
      </c>
      <c r="C28">
        <v>11.1060454425168</v>
      </c>
      <c r="D28">
        <v>52.664138420916203</v>
      </c>
      <c r="E28">
        <v>53.069640690841702</v>
      </c>
    </row>
    <row r="29" spans="1:5" x14ac:dyDescent="0.25">
      <c r="A29">
        <v>7.7999999999999901E-3</v>
      </c>
      <c r="B29">
        <v>11.253639861656101</v>
      </c>
      <c r="C29">
        <v>11.549519016237801</v>
      </c>
      <c r="D29">
        <v>52.786768396911498</v>
      </c>
      <c r="E29">
        <v>54.383300082724404</v>
      </c>
    </row>
    <row r="30" spans="1:5" x14ac:dyDescent="0.25">
      <c r="A30">
        <v>8.0999999999999996E-3</v>
      </c>
      <c r="B30">
        <v>11.6857214543459</v>
      </c>
      <c r="C30">
        <v>11.9929339050721</v>
      </c>
      <c r="D30">
        <v>52.337091154632098</v>
      </c>
      <c r="E30">
        <v>55.696643268100601</v>
      </c>
    </row>
    <row r="31" spans="1:5" x14ac:dyDescent="0.25">
      <c r="A31">
        <v>8.3999999999999995E-3</v>
      </c>
      <c r="B31">
        <v>11.7078234421875</v>
      </c>
      <c r="C31">
        <v>12.4362901541667</v>
      </c>
      <c r="D31">
        <v>50.166258571286399</v>
      </c>
      <c r="E31">
        <v>56.798212662945502</v>
      </c>
    </row>
    <row r="32" spans="1:5" x14ac:dyDescent="0.25">
      <c r="A32">
        <v>8.6999999999999994E-3</v>
      </c>
      <c r="B32">
        <v>12.1252122050292</v>
      </c>
      <c r="C32">
        <v>12.879587808598201</v>
      </c>
      <c r="D32">
        <v>-1.10342183037095E-3</v>
      </c>
      <c r="E32">
        <v>57.574227670198297</v>
      </c>
    </row>
    <row r="33" spans="1:5" x14ac:dyDescent="0.25">
      <c r="A33">
        <v>8.9999999999999993E-3</v>
      </c>
      <c r="B33">
        <v>12.5425497863902</v>
      </c>
      <c r="C33">
        <v>13.322826913372699</v>
      </c>
      <c r="D33">
        <v>-1.2746660443153899E-3</v>
      </c>
      <c r="E33">
        <v>58.3500772144967</v>
      </c>
    </row>
    <row r="34" spans="1:5" x14ac:dyDescent="0.25">
      <c r="A34">
        <v>9.2999999999999992E-3</v>
      </c>
      <c r="B34">
        <v>12.3769072581666</v>
      </c>
      <c r="C34">
        <v>13.7660075134265</v>
      </c>
      <c r="D34">
        <v>-1.3180405079758499E-3</v>
      </c>
      <c r="E34">
        <v>59.125770089797797</v>
      </c>
    </row>
    <row r="35" spans="1:5" x14ac:dyDescent="0.25">
      <c r="A35">
        <v>9.5999999999999992E-3</v>
      </c>
      <c r="B35">
        <v>12.775408097703201</v>
      </c>
      <c r="C35">
        <v>14.209129653626</v>
      </c>
      <c r="D35">
        <v>-1.36137262314691E-3</v>
      </c>
      <c r="E35">
        <v>59.383109955149699</v>
      </c>
    </row>
    <row r="36" spans="1:5" x14ac:dyDescent="0.25">
      <c r="A36">
        <v>9.8999999999999904E-3</v>
      </c>
      <c r="B36">
        <v>13.173862184615899</v>
      </c>
      <c r="C36">
        <v>14.571131422633</v>
      </c>
      <c r="D36">
        <v>-1.40466768444497E-3</v>
      </c>
      <c r="E36">
        <v>59.6390658890232</v>
      </c>
    </row>
    <row r="37" spans="1:5" x14ac:dyDescent="0.25">
      <c r="A37">
        <v>1.01999999999999E-2</v>
      </c>
      <c r="B37">
        <v>12.775126488570701</v>
      </c>
      <c r="C37">
        <v>15.011693328588599</v>
      </c>
      <c r="D37">
        <v>-1.4479235338237201E-3</v>
      </c>
      <c r="E37">
        <v>59.894951716633898</v>
      </c>
    </row>
    <row r="38" spans="1:5" x14ac:dyDescent="0.25">
      <c r="A38">
        <v>1.04999999999999E-2</v>
      </c>
      <c r="B38">
        <v>12.103412290200801</v>
      </c>
      <c r="C38">
        <v>15.140390129396099</v>
      </c>
      <c r="D38">
        <v>-1.4911412371821299E-3</v>
      </c>
      <c r="E38">
        <v>59.858292629429201</v>
      </c>
    </row>
    <row r="39" spans="1:5" x14ac:dyDescent="0.25">
      <c r="A39">
        <v>1.07999999999999E-2</v>
      </c>
      <c r="B39">
        <v>0</v>
      </c>
      <c r="C39">
        <v>15.5719763330842</v>
      </c>
      <c r="D39">
        <v>-1.53432084962046E-3</v>
      </c>
      <c r="E39">
        <v>59.295639499582698</v>
      </c>
    </row>
    <row r="40" spans="1:5" x14ac:dyDescent="0.25">
      <c r="A40">
        <v>1.10999999999999E-2</v>
      </c>
      <c r="C40">
        <v>16.003507702243802</v>
      </c>
      <c r="D40">
        <v>-1.5774624264894401E-3</v>
      </c>
      <c r="E40">
        <v>57.8569978242624</v>
      </c>
    </row>
    <row r="41" spans="1:5" x14ac:dyDescent="0.25">
      <c r="A41">
        <v>1.13999999999999E-2</v>
      </c>
      <c r="C41">
        <v>16.434984278305802</v>
      </c>
      <c r="D41">
        <v>-1.6205660236199499E-3</v>
      </c>
      <c r="E41">
        <v>56.705254767984201</v>
      </c>
    </row>
    <row r="42" spans="1:5" x14ac:dyDescent="0.25">
      <c r="A42">
        <v>1.16999999999999E-2</v>
      </c>
      <c r="C42">
        <v>16.296291187826601</v>
      </c>
      <c r="D42">
        <v>-1.66363169595159E-3</v>
      </c>
      <c r="E42">
        <v>-1.1679458619765E-3</v>
      </c>
    </row>
    <row r="43" spans="1:5" x14ac:dyDescent="0.25">
      <c r="A43">
        <v>1.19999999999999E-2</v>
      </c>
      <c r="C43">
        <v>16.7131190631594</v>
      </c>
      <c r="D43">
        <v>-1.7066594995532799E-3</v>
      </c>
      <c r="E43">
        <v>-1.42220373365584E-3</v>
      </c>
    </row>
    <row r="44" spans="1:5" x14ac:dyDescent="0.25">
      <c r="A44">
        <v>1.22999999999999E-2</v>
      </c>
      <c r="C44">
        <v>17.1298961775747</v>
      </c>
      <c r="D44">
        <v>-1.7496494877767899E-3</v>
      </c>
      <c r="E44">
        <v>-1.45803407104248E-3</v>
      </c>
    </row>
    <row r="45" spans="1:5" x14ac:dyDescent="0.25">
      <c r="A45">
        <v>1.2599999999999899E-2</v>
      </c>
      <c r="C45">
        <v>17.5466225688774</v>
      </c>
      <c r="D45">
        <v>-1.79260171674378E-3</v>
      </c>
      <c r="E45">
        <v>-1.4938273977824501E-3</v>
      </c>
    </row>
    <row r="46" spans="1:5" x14ac:dyDescent="0.25">
      <c r="A46">
        <v>1.2899999999999899E-2</v>
      </c>
      <c r="C46">
        <v>17.963298274881101</v>
      </c>
      <c r="D46">
        <v>-1.83551624049026E-3</v>
      </c>
      <c r="E46">
        <v>-1.52958929942492E-3</v>
      </c>
    </row>
    <row r="47" spans="1:5" x14ac:dyDescent="0.25">
      <c r="A47">
        <v>1.3199999999999899E-2</v>
      </c>
      <c r="C47">
        <v>17.553781348079902</v>
      </c>
      <c r="D47">
        <v>-1.8783931134944199E-3</v>
      </c>
      <c r="E47">
        <v>-1.5653198217350499E-3</v>
      </c>
    </row>
    <row r="48" spans="1:5" x14ac:dyDescent="0.25">
      <c r="A48">
        <v>1.3499999999999899E-2</v>
      </c>
      <c r="C48">
        <v>17.9516770934937</v>
      </c>
      <c r="D48">
        <v>-1.92123239039734E-3</v>
      </c>
      <c r="E48">
        <v>-1.6010190101995499E-3</v>
      </c>
    </row>
    <row r="49" spans="1:5" x14ac:dyDescent="0.25">
      <c r="A49">
        <v>1.3799999999999899E-2</v>
      </c>
      <c r="C49">
        <v>18.3495265331178</v>
      </c>
      <c r="D49">
        <v>-1.9640341240591301E-3</v>
      </c>
      <c r="E49">
        <v>-1.63668690763388E-3</v>
      </c>
    </row>
    <row r="50" spans="1:5" x14ac:dyDescent="0.25">
      <c r="A50">
        <v>1.4099999999999901E-2</v>
      </c>
      <c r="C50">
        <v>18.747329700862601</v>
      </c>
      <c r="D50">
        <v>-2.0067983694558298E-3</v>
      </c>
      <c r="E50">
        <v>-1.6723235590688E-3</v>
      </c>
    </row>
    <row r="51" spans="1:5" x14ac:dyDescent="0.25">
      <c r="A51">
        <v>1.4399999999999901E-2</v>
      </c>
      <c r="C51">
        <v>18.021196668237302</v>
      </c>
      <c r="D51">
        <v>-2.0495251798368298E-3</v>
      </c>
      <c r="E51">
        <v>-1.70792900866838E-3</v>
      </c>
    </row>
    <row r="52" spans="1:5" x14ac:dyDescent="0.25">
      <c r="A52">
        <v>1.4699999999999901E-2</v>
      </c>
      <c r="C52">
        <v>18.395601110028299</v>
      </c>
      <c r="D52">
        <v>-2.0922146084004999E-3</v>
      </c>
      <c r="E52">
        <v>-1.7435032996652199E-3</v>
      </c>
    </row>
    <row r="53" spans="1:5" x14ac:dyDescent="0.25">
      <c r="A53">
        <v>1.4999999999999901E-2</v>
      </c>
      <c r="C53">
        <v>17.276371467255601</v>
      </c>
      <c r="D53">
        <v>-2.1348667086602499E-3</v>
      </c>
      <c r="E53">
        <v>-1.7790464760863199E-3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opLeftCell="G7" workbookViewId="0">
      <selection activeCell="O11" sqref="O11"/>
    </sheetView>
  </sheetViews>
  <sheetFormatPr defaultRowHeight="15" x14ac:dyDescent="0.25"/>
  <sheetData>
    <row r="1" spans="1:23" x14ac:dyDescent="0.25">
      <c r="L1" t="s">
        <v>22</v>
      </c>
      <c r="N1" t="s">
        <v>25</v>
      </c>
      <c r="O1" t="s">
        <v>26</v>
      </c>
      <c r="P1" t="s">
        <v>2</v>
      </c>
      <c r="Q1" t="s">
        <v>1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20</v>
      </c>
      <c r="K2" t="s">
        <v>9</v>
      </c>
      <c r="L2" t="s">
        <v>22</v>
      </c>
      <c r="M2" t="s">
        <v>23</v>
      </c>
      <c r="N2" t="s">
        <v>24</v>
      </c>
      <c r="P2">
        <v>2.7</v>
      </c>
      <c r="Q2">
        <v>6.9341309648243703</v>
      </c>
      <c r="R2">
        <v>2482</v>
      </c>
      <c r="S2">
        <v>905.83941605839402</v>
      </c>
      <c r="T2">
        <v>2.5649999999999999</v>
      </c>
      <c r="U2">
        <v>0</v>
      </c>
      <c r="V2">
        <v>0</v>
      </c>
      <c r="W2">
        <v>-2.5649999999999999</v>
      </c>
    </row>
    <row r="3" spans="1:23" x14ac:dyDescent="0.25">
      <c r="A3">
        <v>1</v>
      </c>
      <c r="B3">
        <v>0</v>
      </c>
      <c r="C3">
        <v>1.08897777175434E-3</v>
      </c>
      <c r="D3">
        <v>2.7028428294942799</v>
      </c>
      <c r="E3">
        <v>1.0410961708653399E-3</v>
      </c>
      <c r="F3">
        <v>2.7028428294942799</v>
      </c>
      <c r="G3">
        <f>$R$2*(1-B3)</f>
        <v>2482</v>
      </c>
      <c r="H3">
        <f>C3*G3</f>
        <v>2.7028428294942719</v>
      </c>
      <c r="I3">
        <f>G3*$P$4/(1-G3/$R$4*($R$4/$R$2-$P$4))</f>
        <v>64.09999999999998</v>
      </c>
      <c r="J3">
        <f>$P$4/(1-G3/$R$4*($R$4/$R$2-$P$4))</f>
        <v>2.5825946817082994E-2</v>
      </c>
      <c r="K3">
        <f>(C3-$S$4)/($P$4-$S$4)</f>
        <v>-0.44550008864032298</v>
      </c>
      <c r="L3">
        <v>0</v>
      </c>
      <c r="M3">
        <f>$R$2*(1-L3)*C3</f>
        <v>2.7028428294942719</v>
      </c>
      <c r="N3">
        <v>0</v>
      </c>
      <c r="O3">
        <v>0</v>
      </c>
      <c r="P3" t="s">
        <v>17</v>
      </c>
      <c r="Q3" t="s">
        <v>18</v>
      </c>
      <c r="R3" t="s">
        <v>19</v>
      </c>
      <c r="S3" t="s">
        <v>21</v>
      </c>
    </row>
    <row r="4" spans="1:23" x14ac:dyDescent="0.25">
      <c r="A4">
        <v>2</v>
      </c>
      <c r="B4">
        <v>0</v>
      </c>
      <c r="C4">
        <v>2.17763323695803E-3</v>
      </c>
      <c r="D4">
        <v>5.40488569412984</v>
      </c>
      <c r="E4">
        <v>2.0818842067765698E-3</v>
      </c>
      <c r="F4">
        <v>5.40488569412984</v>
      </c>
      <c r="G4">
        <f>$R$2*(1-B4)</f>
        <v>2482</v>
      </c>
      <c r="H4">
        <f t="shared" ref="H4:H52" si="0">C4*G4</f>
        <v>5.4048856941298302</v>
      </c>
      <c r="I4">
        <f>G4*$P$4/(1-G4/$R$4*($R$4/$R$2-$P$4))</f>
        <v>64.09999999999998</v>
      </c>
      <c r="J4">
        <f t="shared" ref="J4:J52" si="1">$P$4/(1-G4/$R$4*($R$4/$R$2-$P$4))</f>
        <v>2.5825946817082994E-2</v>
      </c>
      <c r="K4">
        <f t="shared" ref="K4:K52" si="2">(C4-$S$4)/($P$4-$S$4)</f>
        <v>-0.42589396367981158</v>
      </c>
      <c r="L4">
        <v>0</v>
      </c>
      <c r="M4">
        <f t="shared" ref="M4:M52" si="3">$R$2*(1-L4)*C4</f>
        <v>5.4048856941298302</v>
      </c>
      <c r="N4">
        <f>S4</f>
        <v>2.5825946817082994E-2</v>
      </c>
      <c r="O4">
        <f>R4</f>
        <v>64.099999999999994</v>
      </c>
      <c r="P4">
        <f>2*Q4/R4/(Q2-2*P2)</f>
        <v>8.1352241145837181E-2</v>
      </c>
      <c r="Q4">
        <v>4</v>
      </c>
      <c r="R4">
        <v>64.099999999999994</v>
      </c>
      <c r="S4">
        <f>R4/R2</f>
        <v>2.5825946817082994E-2</v>
      </c>
    </row>
    <row r="5" spans="1:23" x14ac:dyDescent="0.25">
      <c r="A5">
        <v>3</v>
      </c>
      <c r="B5">
        <v>0</v>
      </c>
      <c r="C5">
        <v>3.2659625475365199E-3</v>
      </c>
      <c r="D5">
        <v>8.1061190429856396</v>
      </c>
      <c r="E5">
        <v>3.1223604288563101E-3</v>
      </c>
      <c r="F5">
        <v>8.1061190429856396</v>
      </c>
      <c r="G5">
        <f>$R$2*(1-B5)</f>
        <v>2482</v>
      </c>
      <c r="H5">
        <f t="shared" si="0"/>
        <v>8.1061190429856431</v>
      </c>
      <c r="I5">
        <f>G5*$P$4/(1-G5/$R$4*($R$4/$R$2-$P$4))</f>
        <v>64.09999999999998</v>
      </c>
      <c r="J5">
        <f t="shared" si="1"/>
        <v>2.5825946817082994E-2</v>
      </c>
      <c r="K5">
        <f t="shared" si="2"/>
        <v>-0.40629371259633706</v>
      </c>
      <c r="L5">
        <v>0</v>
      </c>
      <c r="M5">
        <f t="shared" si="3"/>
        <v>8.1061190429856431</v>
      </c>
      <c r="N5">
        <f>P4</f>
        <v>8.1352241145837181E-2</v>
      </c>
      <c r="O5">
        <v>0</v>
      </c>
    </row>
    <row r="6" spans="1:23" x14ac:dyDescent="0.25">
      <c r="A6">
        <v>4</v>
      </c>
      <c r="B6">
        <v>0</v>
      </c>
      <c r="C6">
        <v>4.3539659951062496E-3</v>
      </c>
      <c r="D6">
        <v>10.8065435998537</v>
      </c>
      <c r="E6">
        <v>4.1625251158988498E-3</v>
      </c>
      <c r="F6">
        <v>10.8065435998537</v>
      </c>
      <c r="G6">
        <f>$R$2*(1-B6)</f>
        <v>2482</v>
      </c>
      <c r="H6">
        <f t="shared" si="0"/>
        <v>10.806543599853711</v>
      </c>
      <c r="I6">
        <f>G6*$P$4/(1-G6/$R$4*($R$4/$R$2-$P$4))</f>
        <v>64.09999999999998</v>
      </c>
      <c r="J6">
        <f t="shared" si="1"/>
        <v>2.5825946817082994E-2</v>
      </c>
      <c r="K6">
        <f t="shared" si="2"/>
        <v>-0.38669933013803731</v>
      </c>
      <c r="L6">
        <v>0</v>
      </c>
      <c r="M6">
        <f t="shared" si="3"/>
        <v>10.806543599853711</v>
      </c>
    </row>
    <row r="7" spans="1:23" x14ac:dyDescent="0.25">
      <c r="A7">
        <v>5</v>
      </c>
      <c r="B7">
        <v>0</v>
      </c>
      <c r="C7">
        <v>5.4416438726336298E-3</v>
      </c>
      <c r="D7">
        <v>13.5061600918767</v>
      </c>
      <c r="E7">
        <v>5.2023785479890497E-3</v>
      </c>
      <c r="F7">
        <v>13.5061600918767</v>
      </c>
      <c r="G7">
        <f>$R$2*(1-B7)</f>
        <v>2482</v>
      </c>
      <c r="H7">
        <f t="shared" si="0"/>
        <v>13.506160091876669</v>
      </c>
      <c r="I7">
        <f>G7*$P$4/(1-G7/$R$4*($R$4/$R$2-$P$4))</f>
        <v>64.09999999999998</v>
      </c>
      <c r="J7">
        <f t="shared" si="1"/>
        <v>2.5825946817082994E-2</v>
      </c>
      <c r="K7">
        <f t="shared" si="2"/>
        <v>-0.36711081102873799</v>
      </c>
      <c r="L7">
        <v>0</v>
      </c>
      <c r="M7">
        <f t="shared" si="3"/>
        <v>13.506160091876669</v>
      </c>
    </row>
    <row r="8" spans="1:23" x14ac:dyDescent="0.25">
      <c r="A8">
        <v>6</v>
      </c>
      <c r="B8">
        <v>0</v>
      </c>
      <c r="C8">
        <v>6.5289964721945504E-3</v>
      </c>
      <c r="D8">
        <v>16.204969243986898</v>
      </c>
      <c r="E8">
        <v>6.2419210043604401E-3</v>
      </c>
      <c r="F8">
        <v>16.204969243986898</v>
      </c>
      <c r="G8">
        <f>$R$2*(1-B8)</f>
        <v>2482</v>
      </c>
      <c r="H8">
        <f t="shared" si="0"/>
        <v>16.204969243986874</v>
      </c>
      <c r="I8">
        <f>G8*$P$4/(1-G8/$R$4*($R$4/$R$2-$P$4))</f>
        <v>64.09999999999998</v>
      </c>
      <c r="J8">
        <f t="shared" si="1"/>
        <v>2.5825946817082994E-2</v>
      </c>
      <c r="K8">
        <f t="shared" si="2"/>
        <v>-0.34752815000830256</v>
      </c>
      <c r="L8">
        <v>0</v>
      </c>
      <c r="M8">
        <f t="shared" si="3"/>
        <v>16.204969243986874</v>
      </c>
    </row>
    <row r="9" spans="1:23" x14ac:dyDescent="0.25">
      <c r="A9">
        <v>7</v>
      </c>
      <c r="B9">
        <v>0</v>
      </c>
      <c r="C9">
        <v>7.6160240854198803E-3</v>
      </c>
      <c r="D9">
        <v>18.902971780012201</v>
      </c>
      <c r="E9">
        <v>7.2811527638210801E-3</v>
      </c>
      <c r="F9">
        <v>18.902971780012201</v>
      </c>
      <c r="G9">
        <f>$R$2*(1-B9)</f>
        <v>2482</v>
      </c>
      <c r="H9">
        <f t="shared" si="0"/>
        <v>18.902971780012141</v>
      </c>
      <c r="I9">
        <f>G9*$P$4/(1-G9/$R$4*($R$4/$R$2-$P$4))</f>
        <v>64.09999999999998</v>
      </c>
      <c r="J9">
        <f t="shared" si="1"/>
        <v>2.5825946817082994E-2</v>
      </c>
      <c r="K9">
        <f t="shared" si="2"/>
        <v>-0.32795134182460906</v>
      </c>
      <c r="L9">
        <v>0</v>
      </c>
      <c r="M9">
        <f t="shared" si="3"/>
        <v>18.902971780012141</v>
      </c>
    </row>
    <row r="10" spans="1:23" x14ac:dyDescent="0.25">
      <c r="A10">
        <v>8</v>
      </c>
      <c r="B10">
        <v>0</v>
      </c>
      <c r="C10">
        <v>8.7027270034950102E-3</v>
      </c>
      <c r="D10">
        <v>21.600168422674599</v>
      </c>
      <c r="E10">
        <v>8.3200741047531092E-3</v>
      </c>
      <c r="F10">
        <v>21.600168422674599</v>
      </c>
      <c r="G10">
        <f>$R$2*(1-B10)</f>
        <v>2482</v>
      </c>
      <c r="H10">
        <f t="shared" si="0"/>
        <v>21.600168422674617</v>
      </c>
      <c r="I10">
        <f>G10*$P$4/(1-G10/$R$4*($R$4/$R$2-$P$4))</f>
        <v>64.09999999999998</v>
      </c>
      <c r="J10">
        <f t="shared" si="1"/>
        <v>2.5825946817082994E-2</v>
      </c>
      <c r="K10">
        <f t="shared" si="2"/>
        <v>-0.30838038123355832</v>
      </c>
      <c r="L10">
        <v>0</v>
      </c>
      <c r="M10">
        <f t="shared" si="3"/>
        <v>21.600168422674617</v>
      </c>
    </row>
    <row r="11" spans="1:23" x14ac:dyDescent="0.25">
      <c r="A11">
        <v>9</v>
      </c>
      <c r="B11">
        <v>0</v>
      </c>
      <c r="C11">
        <v>9.7891055171598108E-3</v>
      </c>
      <c r="D11">
        <v>24.2965598935907</v>
      </c>
      <c r="E11">
        <v>9.3586853051128103E-3</v>
      </c>
      <c r="F11">
        <v>24.2965598935907</v>
      </c>
      <c r="G11">
        <f>$R$2*(1-B11)</f>
        <v>2482</v>
      </c>
      <c r="H11">
        <f t="shared" si="0"/>
        <v>24.296559893590651</v>
      </c>
      <c r="I11">
        <f>G11*$P$4/(1-G11/$R$4*($R$4/$R$2-$P$4))</f>
        <v>64.09999999999998</v>
      </c>
      <c r="J11">
        <f t="shared" si="1"/>
        <v>2.5825946817082994E-2</v>
      </c>
      <c r="K11">
        <f t="shared" si="2"/>
        <v>-0.28881526299907495</v>
      </c>
      <c r="L11">
        <v>0</v>
      </c>
      <c r="M11">
        <f t="shared" si="3"/>
        <v>24.296559893590651</v>
      </c>
    </row>
    <row r="12" spans="1:23" x14ac:dyDescent="0.25">
      <c r="A12">
        <v>10</v>
      </c>
      <c r="B12">
        <v>0</v>
      </c>
      <c r="C12">
        <v>1.0875159918066099E-2</v>
      </c>
      <c r="D12">
        <v>26.992146916639999</v>
      </c>
      <c r="E12">
        <v>1.03969866437282E-2</v>
      </c>
      <c r="F12">
        <v>26.992146916639999</v>
      </c>
      <c r="G12">
        <f>$R$2*(1-B12)</f>
        <v>2482</v>
      </c>
      <c r="H12">
        <f t="shared" si="0"/>
        <v>26.99214691664006</v>
      </c>
      <c r="I12">
        <f>G12*$P$4/(1-G12/$R$4*($R$4/$R$2-$P$4))</f>
        <v>64.09999999999998</v>
      </c>
      <c r="J12">
        <f t="shared" si="1"/>
        <v>2.5825946817082994E-2</v>
      </c>
      <c r="K12">
        <f t="shared" si="2"/>
        <v>-0.26925598186865962</v>
      </c>
      <c r="L12">
        <v>0</v>
      </c>
      <c r="M12">
        <f t="shared" si="3"/>
        <v>26.99214691664006</v>
      </c>
    </row>
    <row r="13" spans="1:23" x14ac:dyDescent="0.25">
      <c r="A13">
        <v>11</v>
      </c>
      <c r="B13">
        <v>0</v>
      </c>
      <c r="C13">
        <v>1.1960890494166401E-2</v>
      </c>
      <c r="D13">
        <v>29.686930206521001</v>
      </c>
      <c r="E13">
        <v>1.14349783958909E-2</v>
      </c>
      <c r="F13">
        <v>29.686930206521001</v>
      </c>
      <c r="G13">
        <f>$R$2*(1-B13)</f>
        <v>2482</v>
      </c>
      <c r="H13">
        <f t="shared" si="0"/>
        <v>29.686930206521005</v>
      </c>
      <c r="I13">
        <f>G13*$P$4/(1-G13/$R$4*($R$4/$R$2-$P$4))</f>
        <v>64.09999999999998</v>
      </c>
      <c r="J13">
        <f t="shared" si="1"/>
        <v>2.5825946817082994E-2</v>
      </c>
      <c r="K13">
        <f t="shared" si="2"/>
        <v>-0.24970253265643552</v>
      </c>
      <c r="L13">
        <v>0</v>
      </c>
      <c r="M13">
        <f t="shared" si="3"/>
        <v>29.686930206521005</v>
      </c>
    </row>
    <row r="14" spans="1:23" x14ac:dyDescent="0.25">
      <c r="A14">
        <v>12</v>
      </c>
      <c r="B14">
        <v>0</v>
      </c>
      <c r="C14">
        <v>1.3046297535753299E-2</v>
      </c>
      <c r="D14">
        <v>32.380910483739697</v>
      </c>
      <c r="E14">
        <v>1.2472660839129301E-2</v>
      </c>
      <c r="F14">
        <v>32.380910483739697</v>
      </c>
      <c r="G14">
        <f>$R$2*(1-B14)</f>
        <v>2482</v>
      </c>
      <c r="H14">
        <f t="shared" si="0"/>
        <v>32.38091048373969</v>
      </c>
      <c r="I14">
        <f>G14*$P$4/(1-G14/$R$4*($R$4/$R$2-$P$4))</f>
        <v>64.09999999999998</v>
      </c>
      <c r="J14">
        <f t="shared" si="1"/>
        <v>2.5825946817082994E-2</v>
      </c>
      <c r="K14">
        <f t="shared" si="2"/>
        <v>-0.23015491013438252</v>
      </c>
      <c r="L14">
        <v>0</v>
      </c>
      <c r="M14">
        <f t="shared" si="3"/>
        <v>32.38091048373969</v>
      </c>
    </row>
    <row r="15" spans="1:23" x14ac:dyDescent="0.25">
      <c r="A15">
        <v>13</v>
      </c>
      <c r="B15">
        <v>0</v>
      </c>
      <c r="C15">
        <v>1.4131381331879101E-2</v>
      </c>
      <c r="D15">
        <v>35.074088465724003</v>
      </c>
      <c r="E15">
        <v>1.3510034249786499E-2</v>
      </c>
      <c r="F15">
        <v>35.074088465724003</v>
      </c>
      <c r="G15">
        <f>$R$2*(1-B15)</f>
        <v>2482</v>
      </c>
      <c r="H15">
        <f t="shared" si="0"/>
        <v>35.074088465723925</v>
      </c>
      <c r="I15">
        <f>G15*$P$4/(1-G15/$R$4*($R$4/$R$2-$P$4))</f>
        <v>64.09999999999998</v>
      </c>
      <c r="J15">
        <f t="shared" si="1"/>
        <v>2.5825946817082994E-2</v>
      </c>
      <c r="K15">
        <f t="shared" si="2"/>
        <v>-0.2106131090968173</v>
      </c>
      <c r="L15">
        <v>0</v>
      </c>
      <c r="M15">
        <f t="shared" si="3"/>
        <v>35.074088465723925</v>
      </c>
    </row>
    <row r="16" spans="1:23" x14ac:dyDescent="0.25">
      <c r="A16">
        <v>14</v>
      </c>
      <c r="B16">
        <v>0</v>
      </c>
      <c r="C16">
        <v>1.5216142171168401E-2</v>
      </c>
      <c r="D16">
        <v>37.766464868839897</v>
      </c>
      <c r="E16">
        <v>1.4547098903796201E-2</v>
      </c>
      <c r="F16">
        <v>37.766464868839897</v>
      </c>
      <c r="G16">
        <f>$R$2*(1-B16)</f>
        <v>2482</v>
      </c>
      <c r="H16">
        <f t="shared" si="0"/>
        <v>37.766464868839968</v>
      </c>
      <c r="I16">
        <f>G16*$P$4/(1-G16/$R$4*($R$4/$R$2-$P$4))</f>
        <v>64.09999999999998</v>
      </c>
      <c r="J16">
        <f t="shared" si="1"/>
        <v>2.5825946817082994E-2</v>
      </c>
      <c r="K16">
        <f t="shared" si="2"/>
        <v>-0.1910771243457593</v>
      </c>
      <c r="L16">
        <v>0</v>
      </c>
      <c r="M16">
        <f t="shared" si="3"/>
        <v>37.766464868839968</v>
      </c>
    </row>
    <row r="17" spans="1:13" x14ac:dyDescent="0.25">
      <c r="A17">
        <v>15</v>
      </c>
      <c r="B17">
        <v>0</v>
      </c>
      <c r="C17">
        <v>1.6300580341818201E-2</v>
      </c>
      <c r="D17">
        <v>40.458040408392897</v>
      </c>
      <c r="E17">
        <v>1.5583855076683899E-2</v>
      </c>
      <c r="F17">
        <v>40.458040408392897</v>
      </c>
      <c r="G17">
        <f>$R$2*(1-B17)</f>
        <v>2482</v>
      </c>
      <c r="H17">
        <f t="shared" si="0"/>
        <v>40.458040408392776</v>
      </c>
      <c r="I17">
        <f>G17*$P$4/(1-G17/$R$4*($R$4/$R$2-$P$4))</f>
        <v>64.09999999999998</v>
      </c>
      <c r="J17">
        <f t="shared" si="1"/>
        <v>2.5825946817082994E-2</v>
      </c>
      <c r="K17">
        <f t="shared" si="2"/>
        <v>-0.17154695069092879</v>
      </c>
      <c r="L17">
        <v>0</v>
      </c>
      <c r="M17">
        <f t="shared" si="3"/>
        <v>40.458040408392776</v>
      </c>
    </row>
    <row r="18" spans="1:13" x14ac:dyDescent="0.25">
      <c r="A18">
        <v>16</v>
      </c>
      <c r="B18">
        <v>0</v>
      </c>
      <c r="C18">
        <v>1.7384696131592901E-2</v>
      </c>
      <c r="D18">
        <v>43.148815798613697</v>
      </c>
      <c r="E18">
        <v>1.6620303043560901E-2</v>
      </c>
      <c r="F18">
        <v>43.148815798613697</v>
      </c>
      <c r="G18">
        <f>$R$2*(1-B18)</f>
        <v>2482</v>
      </c>
      <c r="H18">
        <f t="shared" si="0"/>
        <v>43.148815798613583</v>
      </c>
      <c r="I18">
        <f>G18*$P$4/(1-G18/$R$4*($R$4/$R$2-$P$4))</f>
        <v>64.09999999999998</v>
      </c>
      <c r="J18">
        <f t="shared" si="1"/>
        <v>2.5825946817082994E-2</v>
      </c>
      <c r="K18">
        <f t="shared" si="2"/>
        <v>-0.15202258294983692</v>
      </c>
      <c r="L18">
        <v>0</v>
      </c>
      <c r="M18">
        <f t="shared" si="3"/>
        <v>43.148815798613583</v>
      </c>
    </row>
    <row r="19" spans="1:13" x14ac:dyDescent="0.25">
      <c r="A19">
        <v>17</v>
      </c>
      <c r="B19">
        <v>0</v>
      </c>
      <c r="C19">
        <v>1.8468489827829799E-2</v>
      </c>
      <c r="D19">
        <v>45.8387917526736</v>
      </c>
      <c r="E19">
        <v>1.7656443079130699E-2</v>
      </c>
      <c r="F19">
        <v>45.8387917526736</v>
      </c>
      <c r="G19">
        <f>$R$2*(1-B19)</f>
        <v>2482</v>
      </c>
      <c r="H19">
        <f t="shared" si="0"/>
        <v>45.838791752673558</v>
      </c>
      <c r="I19">
        <f>G19*$P$4/(1-G19/$R$4*($R$4/$R$2-$P$4))</f>
        <v>64.09999999999998</v>
      </c>
      <c r="J19">
        <f t="shared" si="1"/>
        <v>2.5825946817082994E-2</v>
      </c>
      <c r="K19">
        <f t="shared" si="2"/>
        <v>-0.13250401594768679</v>
      </c>
      <c r="L19">
        <v>0</v>
      </c>
      <c r="M19">
        <f t="shared" si="3"/>
        <v>45.838791752673558</v>
      </c>
    </row>
    <row r="20" spans="1:13" x14ac:dyDescent="0.25">
      <c r="A20">
        <v>18</v>
      </c>
      <c r="B20">
        <v>0</v>
      </c>
      <c r="C20">
        <v>1.9551961717440201E-2</v>
      </c>
      <c r="D20">
        <v>48.527968982686701</v>
      </c>
      <c r="E20">
        <v>1.86922754576892E-2</v>
      </c>
      <c r="F20">
        <v>48.527968982686701</v>
      </c>
      <c r="G20">
        <f>$R$2*(1-B20)</f>
        <v>2482</v>
      </c>
      <c r="H20">
        <f t="shared" si="0"/>
        <v>48.527968982686581</v>
      </c>
      <c r="I20">
        <f>G20*$P$4/(1-G20/$R$4*($R$4/$R$2-$P$4))</f>
        <v>64.09999999999998</v>
      </c>
      <c r="J20">
        <f t="shared" si="1"/>
        <v>2.5825946817082994E-2</v>
      </c>
      <c r="K20">
        <f t="shared" si="2"/>
        <v>-0.11299124451735332</v>
      </c>
      <c r="L20">
        <v>0</v>
      </c>
      <c r="M20">
        <f t="shared" si="3"/>
        <v>48.527968982686581</v>
      </c>
    </row>
    <row r="21" spans="1:13" x14ac:dyDescent="0.25">
      <c r="A21">
        <v>19</v>
      </c>
      <c r="B21">
        <v>0</v>
      </c>
      <c r="C21">
        <v>2.06351120869111E-2</v>
      </c>
      <c r="D21">
        <v>51.216348199713202</v>
      </c>
      <c r="E21">
        <v>1.97278004531267E-2</v>
      </c>
      <c r="F21">
        <v>51.216348199713202</v>
      </c>
      <c r="G21">
        <f>$R$2*(1-B21)</f>
        <v>2482</v>
      </c>
      <c r="H21">
        <f t="shared" si="0"/>
        <v>51.216348199713352</v>
      </c>
      <c r="I21">
        <f>G21*$P$4/(1-G21/$R$4*($R$4/$R$2-$P$4))</f>
        <v>64.09999999999998</v>
      </c>
      <c r="J21">
        <f t="shared" si="1"/>
        <v>2.5825946817082994E-2</v>
      </c>
      <c r="K21">
        <f t="shared" si="2"/>
        <v>-9.3484263499353126E-2</v>
      </c>
      <c r="L21">
        <v>0</v>
      </c>
      <c r="M21">
        <f t="shared" si="3"/>
        <v>51.216348199713352</v>
      </c>
    </row>
    <row r="22" spans="1:13" x14ac:dyDescent="0.25">
      <c r="A22">
        <v>20</v>
      </c>
      <c r="B22">
        <v>0</v>
      </c>
      <c r="C22">
        <v>2.1717941222297501E-2</v>
      </c>
      <c r="D22">
        <v>53.903930113742497</v>
      </c>
      <c r="E22">
        <v>2.0763018338920799E-2</v>
      </c>
      <c r="F22">
        <v>53.903930113742497</v>
      </c>
      <c r="G22">
        <f>$R$2*(1-B22)</f>
        <v>2482</v>
      </c>
      <c r="H22">
        <f t="shared" si="0"/>
        <v>53.903930113742398</v>
      </c>
      <c r="I22">
        <f>G22*$P$4/(1-G22/$R$4*($R$4/$R$2-$P$4))</f>
        <v>64.09999999999998</v>
      </c>
      <c r="J22">
        <f t="shared" si="1"/>
        <v>2.5825946817082994E-2</v>
      </c>
      <c r="K22">
        <f t="shared" si="2"/>
        <v>-7.3983067741982739E-2</v>
      </c>
      <c r="L22">
        <v>0</v>
      </c>
      <c r="M22">
        <f t="shared" si="3"/>
        <v>53.903930113742398</v>
      </c>
    </row>
    <row r="23" spans="1:13" x14ac:dyDescent="0.25">
      <c r="A23">
        <v>21</v>
      </c>
      <c r="B23">
        <v>0</v>
      </c>
      <c r="C23">
        <v>2.28004494092388E-2</v>
      </c>
      <c r="D23">
        <v>56.590715433730701</v>
      </c>
      <c r="E23">
        <v>2.1797929388151199E-2</v>
      </c>
      <c r="F23">
        <v>56.590715433730701</v>
      </c>
      <c r="G23">
        <f>$R$2*(1-B23)</f>
        <v>2482</v>
      </c>
      <c r="H23">
        <f t="shared" si="0"/>
        <v>56.590715433730701</v>
      </c>
      <c r="I23">
        <f>G23*$P$4/(1-G23/$R$4*($R$4/$R$2-$P$4))</f>
        <v>64.09999999999998</v>
      </c>
      <c r="J23">
        <f t="shared" si="1"/>
        <v>2.5825946817082994E-2</v>
      </c>
      <c r="K23">
        <f t="shared" si="2"/>
        <v>-5.4487652101023534E-2</v>
      </c>
      <c r="L23">
        <v>0</v>
      </c>
      <c r="M23">
        <f t="shared" si="3"/>
        <v>56.590715433730701</v>
      </c>
    </row>
    <row r="24" spans="1:13" x14ac:dyDescent="0.25">
      <c r="A24">
        <v>22</v>
      </c>
      <c r="B24">
        <v>0</v>
      </c>
      <c r="C24">
        <v>2.3882636932942399E-2</v>
      </c>
      <c r="D24">
        <v>59.276704867562998</v>
      </c>
      <c r="E24">
        <v>2.2832533873485199E-2</v>
      </c>
      <c r="F24">
        <v>59.276704867562998</v>
      </c>
      <c r="G24">
        <f>$R$2*(1-B24)</f>
        <v>2482</v>
      </c>
      <c r="H24">
        <f t="shared" si="0"/>
        <v>59.276704867563033</v>
      </c>
      <c r="I24">
        <f>G24*$P$4/(1-G24/$R$4*($R$4/$R$2-$P$4))</f>
        <v>64.09999999999998</v>
      </c>
      <c r="J24">
        <f t="shared" si="1"/>
        <v>2.5825946817082994E-2</v>
      </c>
      <c r="K24">
        <f t="shared" si="2"/>
        <v>-3.4998011440036891E-2</v>
      </c>
      <c r="L24">
        <v>0</v>
      </c>
      <c r="M24">
        <f t="shared" si="3"/>
        <v>59.276704867563033</v>
      </c>
    </row>
    <row r="25" spans="1:13" x14ac:dyDescent="0.25">
      <c r="A25">
        <v>23</v>
      </c>
      <c r="B25">
        <v>0</v>
      </c>
      <c r="C25">
        <v>2.4964504078197301E-2</v>
      </c>
      <c r="D25">
        <v>61.961899122085804</v>
      </c>
      <c r="E25">
        <v>2.38668320671898E-2</v>
      </c>
      <c r="F25">
        <v>61.961899122085804</v>
      </c>
      <c r="G25">
        <f>$R$2*(1-B25)</f>
        <v>2482</v>
      </c>
      <c r="H25">
        <f t="shared" si="0"/>
        <v>61.961899122085704</v>
      </c>
      <c r="I25">
        <f>G25*$P$4/(1-G25/$R$4*($R$4/$R$2-$P$4))</f>
        <v>64.09999999999998</v>
      </c>
      <c r="J25">
        <f t="shared" si="1"/>
        <v>2.5825946817082994E-2</v>
      </c>
      <c r="K25">
        <f t="shared" si="2"/>
        <v>-1.5514140630119381E-2</v>
      </c>
      <c r="L25">
        <v>0</v>
      </c>
      <c r="M25">
        <f t="shared" si="3"/>
        <v>61.961899122085704</v>
      </c>
    </row>
    <row r="26" spans="1:13" x14ac:dyDescent="0.25">
      <c r="A26">
        <v>24</v>
      </c>
      <c r="B26">
        <v>4.0119521472453002E-3</v>
      </c>
      <c r="C26">
        <v>2.60487156528438E-2</v>
      </c>
      <c r="D26">
        <v>64.393527860229895</v>
      </c>
      <c r="E26">
        <v>2.4900836184788399E-2</v>
      </c>
      <c r="F26">
        <v>64.393527860229895</v>
      </c>
      <c r="G26">
        <f>$R$2*(1-B26)</f>
        <v>2472.0423347705373</v>
      </c>
      <c r="H26">
        <f t="shared" si="0"/>
        <v>64.393527860229824</v>
      </c>
      <c r="I26">
        <f>G26*$P$4/(1-G26/$R$4*($R$4/$R$2-$P$4))</f>
        <v>64.018136298985269</v>
      </c>
      <c r="J26">
        <f t="shared" si="1"/>
        <v>2.5896860825778547E-2</v>
      </c>
      <c r="K26">
        <f t="shared" si="2"/>
        <v>4.0119521472450495E-3</v>
      </c>
      <c r="L26">
        <f>1-(1-$P$4/C26)/($S$4-$P$4)*$S$4</f>
        <v>1.2529650325105668E-2</v>
      </c>
      <c r="M26">
        <f t="shared" si="3"/>
        <v>63.842833867361584</v>
      </c>
    </row>
    <row r="27" spans="1:13" x14ac:dyDescent="0.25">
      <c r="A27">
        <v>25</v>
      </c>
      <c r="B27">
        <v>2.3753435222118799E-2</v>
      </c>
      <c r="C27">
        <v>2.7144887052544898E-2</v>
      </c>
      <c r="D27">
        <v>65.773254991572401</v>
      </c>
      <c r="E27">
        <v>2.5934551726098199E-2</v>
      </c>
      <c r="F27">
        <v>65.773254991572401</v>
      </c>
      <c r="G27">
        <f>$R$2*(1-B27)</f>
        <v>2423.043973778701</v>
      </c>
      <c r="H27">
        <f t="shared" si="0"/>
        <v>65.773254991572401</v>
      </c>
      <c r="I27">
        <f>G27*$P$4/(1-G27/$R$4*($R$4/$R$2-$P$4))</f>
        <v>63.608673737638803</v>
      </c>
      <c r="J27">
        <f t="shared" si="1"/>
        <v>2.6251555657259503E-2</v>
      </c>
      <c r="K27">
        <f t="shared" si="2"/>
        <v>2.3753435222110507E-2</v>
      </c>
      <c r="L27">
        <f>1-(1-$P$4/C27)/($S$4-$P$4)*$S$4</f>
        <v>7.1188183118632065E-2</v>
      </c>
      <c r="M27">
        <f t="shared" si="3"/>
        <v>62.57740480226272</v>
      </c>
    </row>
    <row r="28" spans="1:13" x14ac:dyDescent="0.25">
      <c r="A28">
        <v>26</v>
      </c>
      <c r="B28">
        <v>4.3982388550364897E-2</v>
      </c>
      <c r="C28">
        <v>2.8268125869011299E-2</v>
      </c>
      <c r="D28">
        <v>67.075618562502399</v>
      </c>
      <c r="E28">
        <v>2.69679794279362E-2</v>
      </c>
      <c r="F28">
        <v>67.075618562502399</v>
      </c>
      <c r="G28">
        <f>$R$2*(1-B28)</f>
        <v>2372.8357116179945</v>
      </c>
      <c r="H28">
        <f t="shared" si="0"/>
        <v>67.07561856250247</v>
      </c>
      <c r="I28">
        <f>G28*$P$4/(1-G28/$R$4*($R$4/$R$2-$P$4))</f>
        <v>63.177299602655594</v>
      </c>
      <c r="J28">
        <f t="shared" si="1"/>
        <v>2.6625231276368528E-2</v>
      </c>
      <c r="K28">
        <f t="shared" si="2"/>
        <v>4.3982388550348958E-2</v>
      </c>
      <c r="L28">
        <f>1-(1-$P$4/C28)/($S$4-$P$4)*$S$4</f>
        <v>0.12657598512536428</v>
      </c>
      <c r="M28">
        <f t="shared" si="3"/>
        <v>61.280728893922614</v>
      </c>
    </row>
    <row r="29" spans="1:13" x14ac:dyDescent="0.25">
      <c r="A29">
        <v>27</v>
      </c>
      <c r="B29">
        <v>6.4267500921534604E-2</v>
      </c>
      <c r="C29">
        <v>2.9394482989025101E-2</v>
      </c>
      <c r="D29">
        <v>68.268335851623902</v>
      </c>
      <c r="E29">
        <v>2.80011057306505E-2</v>
      </c>
      <c r="F29">
        <v>68.268335851623902</v>
      </c>
      <c r="G29">
        <f>$R$2*(1-B29)</f>
        <v>2322.4880627127513</v>
      </c>
      <c r="H29">
        <f t="shared" si="0"/>
        <v>68.268335851623831</v>
      </c>
      <c r="I29">
        <f>G29*$P$4/(1-G29/$R$4*($R$4/$R$2-$P$4))</f>
        <v>62.732217418323778</v>
      </c>
      <c r="J29">
        <f t="shared" si="1"/>
        <v>2.701078142251041E-2</v>
      </c>
      <c r="K29">
        <f t="shared" si="2"/>
        <v>6.4267500921525514E-2</v>
      </c>
      <c r="L29">
        <f>1-(1-$P$4/C29)/($S$4-$P$4)*$S$4</f>
        <v>0.17786688865255174</v>
      </c>
      <c r="M29">
        <f t="shared" si="3"/>
        <v>59.980453190930213</v>
      </c>
    </row>
    <row r="30" spans="1:13" x14ac:dyDescent="0.25">
      <c r="A30">
        <v>28</v>
      </c>
      <c r="B30">
        <v>8.4692472820977305E-2</v>
      </c>
      <c r="C30">
        <v>3.05286059903697E-2</v>
      </c>
      <c r="D30">
        <v>69.3546820117392</v>
      </c>
      <c r="E30">
        <v>2.9033956531960399E-2</v>
      </c>
      <c r="F30">
        <v>69.3546820117392</v>
      </c>
      <c r="G30">
        <f>$R$2*(1-B30)</f>
        <v>2271.7932824583345</v>
      </c>
      <c r="H30">
        <f t="shared" si="0"/>
        <v>69.354682011739158</v>
      </c>
      <c r="I30">
        <f>G30*$P$4/(1-G30/$R$4*($R$4/$R$2-$P$4))</f>
        <v>62.270850070538742</v>
      </c>
      <c r="J30">
        <f t="shared" si="1"/>
        <v>2.7410438507483707E-2</v>
      </c>
      <c r="K30">
        <f t="shared" si="2"/>
        <v>8.4692472820961193E-2</v>
      </c>
      <c r="L30">
        <f>1-(1-$P$4/C30)/($S$4-$P$4)*$S$4</f>
        <v>0.22568742491358884</v>
      </c>
      <c r="M30">
        <f t="shared" si="3"/>
        <v>58.671212492176366</v>
      </c>
    </row>
    <row r="31" spans="1:13" x14ac:dyDescent="0.25">
      <c r="A31">
        <v>29</v>
      </c>
      <c r="B31">
        <v>0.105610031045428</v>
      </c>
      <c r="C31">
        <v>3.1690080484979899E-2</v>
      </c>
      <c r="D31">
        <v>70.348046031002198</v>
      </c>
      <c r="E31">
        <v>3.00665146375288E-2</v>
      </c>
      <c r="F31">
        <v>70.348046031002198</v>
      </c>
      <c r="G31">
        <f>$R$2*(1-B31)</f>
        <v>2219.8759029452476</v>
      </c>
      <c r="H31">
        <f t="shared" si="0"/>
        <v>70.348046031002326</v>
      </c>
      <c r="I31">
        <f>G31*$P$4/(1-G31/$R$4*($R$4/$R$2-$P$4))</f>
        <v>61.783987416906619</v>
      </c>
      <c r="J31">
        <f t="shared" si="1"/>
        <v>2.7832180769624983E-2</v>
      </c>
      <c r="K31">
        <f t="shared" si="2"/>
        <v>0.10561003104542084</v>
      </c>
      <c r="L31">
        <f>1-(1-$P$4/C31)/($S$4-$P$4)*$S$4</f>
        <v>0.27111362866681832</v>
      </c>
      <c r="M31">
        <f t="shared" si="3"/>
        <v>57.330397009988523</v>
      </c>
    </row>
    <row r="32" spans="1:13" x14ac:dyDescent="0.25">
      <c r="A32">
        <v>30</v>
      </c>
      <c r="B32">
        <v>0.12662934036651799</v>
      </c>
      <c r="C32">
        <v>3.2857204840929799E-2</v>
      </c>
      <c r="D32">
        <v>71.224759328106799</v>
      </c>
      <c r="E32">
        <v>3.10987753597445E-2</v>
      </c>
      <c r="F32">
        <v>71.224759328106799</v>
      </c>
      <c r="G32">
        <f>$R$2*(1-B32)</f>
        <v>2167.7059772103025</v>
      </c>
      <c r="H32">
        <f t="shared" si="0"/>
        <v>71.224759328106813</v>
      </c>
      <c r="I32">
        <f>G32*$P$4/(1-G32/$R$4*($R$4/$R$2-$P$4))</f>
        <v>61.27942806349413</v>
      </c>
      <c r="J32">
        <f t="shared" si="1"/>
        <v>2.8269252706659413E-2</v>
      </c>
      <c r="K32">
        <f t="shared" si="2"/>
        <v>0.12662934036650958</v>
      </c>
      <c r="L32">
        <f>1-(1-$P$4/C32)/($S$4-$P$4)*$S$4</f>
        <v>0.31352577565581696</v>
      </c>
      <c r="M32">
        <f t="shared" si="3"/>
        <v>55.98305928250673</v>
      </c>
    </row>
    <row r="33" spans="1:13" x14ac:dyDescent="0.25">
      <c r="A33">
        <v>31</v>
      </c>
      <c r="B33">
        <v>0.147751999582556</v>
      </c>
      <c r="C33">
        <v>3.4030067833565998E-2</v>
      </c>
      <c r="D33">
        <v>71.983106132292306</v>
      </c>
      <c r="E33">
        <v>3.2130739155958703E-2</v>
      </c>
      <c r="F33">
        <v>71.983106132292306</v>
      </c>
      <c r="G33">
        <f>$R$2*(1-B33)</f>
        <v>2115.2795370360959</v>
      </c>
      <c r="H33">
        <f t="shared" si="0"/>
        <v>71.98310613229242</v>
      </c>
      <c r="I33">
        <f>G33*$P$4/(1-G33/$R$4*($R$4/$R$2-$P$4))</f>
        <v>60.756167769870942</v>
      </c>
      <c r="J33">
        <f t="shared" si="1"/>
        <v>2.8722524236679259E-2</v>
      </c>
      <c r="K33">
        <f t="shared" si="2"/>
        <v>0.14775199958255661</v>
      </c>
      <c r="L33">
        <f>1-(1-$P$4/C33)/($S$4-$P$4)*$S$4</f>
        <v>0.35321576079738926</v>
      </c>
      <c r="M33">
        <f t="shared" si="3"/>
        <v>54.629096826758115</v>
      </c>
    </row>
    <row r="34" spans="1:13" x14ac:dyDescent="0.25">
      <c r="A34">
        <v>32</v>
      </c>
      <c r="B34">
        <v>0.16920713236477</v>
      </c>
      <c r="C34">
        <v>3.52213918512937E-2</v>
      </c>
      <c r="D34">
        <v>72.627492585112705</v>
      </c>
      <c r="E34">
        <v>3.31624656986724E-2</v>
      </c>
      <c r="F34">
        <v>72.627492585112705</v>
      </c>
      <c r="G34">
        <f>$R$2*(1-B34)</f>
        <v>2062.0278974706407</v>
      </c>
      <c r="H34">
        <f t="shared" si="0"/>
        <v>72.627492585112705</v>
      </c>
      <c r="I34">
        <f>G34*$P$4/(1-G34/$R$4*($R$4/$R$2-$P$4))</f>
        <v>60.207208626922053</v>
      </c>
      <c r="J34">
        <f t="shared" si="1"/>
        <v>2.9198057262355387E-2</v>
      </c>
      <c r="K34">
        <f t="shared" si="2"/>
        <v>0.16920713236477034</v>
      </c>
      <c r="L34">
        <f>1-(1-$P$4/C34)/($S$4-$P$4)*$S$4</f>
        <v>0.39082440279056652</v>
      </c>
      <c r="M34">
        <f t="shared" si="3"/>
        <v>53.253822815418218</v>
      </c>
    </row>
    <row r="35" spans="1:13" x14ac:dyDescent="0.25">
      <c r="A35">
        <v>33</v>
      </c>
      <c r="B35">
        <v>0.191126296560793</v>
      </c>
      <c r="C35">
        <v>3.6438481813882401E-2</v>
      </c>
      <c r="D35">
        <v>73.154789996058099</v>
      </c>
      <c r="E35">
        <v>3.4193881399070397E-2</v>
      </c>
      <c r="F35">
        <v>73.154789996058099</v>
      </c>
      <c r="G35">
        <f>$R$2*(1-B35)</f>
        <v>2007.6245319361119</v>
      </c>
      <c r="H35">
        <f t="shared" si="0"/>
        <v>73.154789996058184</v>
      </c>
      <c r="I35">
        <f>G35*$P$4/(1-G35/$R$4*($R$4/$R$2-$P$4))</f>
        <v>59.627282434687622</v>
      </c>
      <c r="J35">
        <f t="shared" si="1"/>
        <v>2.9700415334726105E-2</v>
      </c>
      <c r="K35">
        <f t="shared" si="2"/>
        <v>0.191126296560794</v>
      </c>
      <c r="L35">
        <f>1-(1-$P$4/C35)/($S$4-$P$4)*$S$4</f>
        <v>0.42670692611569749</v>
      </c>
      <c r="M35">
        <f t="shared" si="3"/>
        <v>51.848804390453097</v>
      </c>
    </row>
    <row r="36" spans="1:13" x14ac:dyDescent="0.25">
      <c r="A36">
        <v>34</v>
      </c>
      <c r="B36">
        <v>0.21320364508536899</v>
      </c>
      <c r="C36">
        <v>3.7664355166056401E-2</v>
      </c>
      <c r="D36">
        <v>73.5520281947706</v>
      </c>
      <c r="E36">
        <v>3.5225006814380802E-2</v>
      </c>
      <c r="F36">
        <v>73.5520281947706</v>
      </c>
      <c r="G36">
        <f>$R$2*(1-B36)</f>
        <v>1952.8285528981144</v>
      </c>
      <c r="H36">
        <f t="shared" si="0"/>
        <v>73.552028194770543</v>
      </c>
      <c r="I36">
        <f>G36*$P$4/(1-G36/$R$4*($R$4/$R$2-$P$4))</f>
        <v>59.02264333087453</v>
      </c>
      <c r="J36">
        <f t="shared" si="1"/>
        <v>3.0224180839265893E-2</v>
      </c>
      <c r="K36">
        <f t="shared" si="2"/>
        <v>0.21320364508536832</v>
      </c>
      <c r="L36">
        <f>1-(1-$P$4/C36)/($S$4-$P$4)*$S$4</f>
        <v>0.46050421603361313</v>
      </c>
      <c r="M36">
        <f t="shared" si="3"/>
        <v>50.433646350027878</v>
      </c>
    </row>
    <row r="37" spans="1:13" x14ac:dyDescent="0.25">
      <c r="A37">
        <v>35</v>
      </c>
      <c r="B37">
        <v>0.235442820917178</v>
      </c>
      <c r="C37">
        <v>3.88992141889224E-2</v>
      </c>
      <c r="D37">
        <v>73.816351549613699</v>
      </c>
      <c r="E37">
        <v>3.6255843325964002E-2</v>
      </c>
      <c r="F37">
        <v>73.816351549613699</v>
      </c>
      <c r="G37">
        <f>$R$2*(1-B37)</f>
        <v>1897.6309184835643</v>
      </c>
      <c r="H37">
        <f t="shared" si="0"/>
        <v>73.816351549613714</v>
      </c>
      <c r="I37">
        <f>G37*$P$4/(1-G37/$R$4*($R$4/$R$2-$P$4))</f>
        <v>58.391621663187266</v>
      </c>
      <c r="J37">
        <f t="shared" si="1"/>
        <v>3.0770800103662517E-2</v>
      </c>
      <c r="K37">
        <f t="shared" si="2"/>
        <v>0.2354428209171783</v>
      </c>
      <c r="L37">
        <f>1-(1-$P$4/C37)/($S$4-$P$4)*$S$4</f>
        <v>0.49239558028822628</v>
      </c>
      <c r="M37">
        <f t="shared" si="3"/>
        <v>49.008115179208858</v>
      </c>
    </row>
    <row r="38" spans="1:13" x14ac:dyDescent="0.25">
      <c r="A38">
        <v>36</v>
      </c>
      <c r="B38">
        <v>0.25822245937495503</v>
      </c>
      <c r="C38">
        <v>4.0164083098631502E-2</v>
      </c>
      <c r="D38">
        <v>73.945766289824505</v>
      </c>
      <c r="E38">
        <v>3.72865705271807E-2</v>
      </c>
      <c r="F38">
        <v>73.945766289824505</v>
      </c>
      <c r="G38">
        <f>$R$2*(1-B38)</f>
        <v>1841.0918558313617</v>
      </c>
      <c r="H38">
        <f t="shared" si="0"/>
        <v>73.945766289824505</v>
      </c>
      <c r="I38">
        <f>G38*$P$4/(1-G38/$R$4*($R$4/$R$2-$P$4))</f>
        <v>57.721154636105716</v>
      </c>
      <c r="J38">
        <f t="shared" si="1"/>
        <v>3.1351588707148562E-2</v>
      </c>
      <c r="K38">
        <f t="shared" si="2"/>
        <v>0.25822245937495475</v>
      </c>
      <c r="L38">
        <f>1-(1-$P$4/C38)/($S$4-$P$4)*$S$4</f>
        <v>0.52302888958663241</v>
      </c>
      <c r="M38">
        <f t="shared" si="3"/>
        <v>47.547940354065389</v>
      </c>
    </row>
    <row r="39" spans="1:13" x14ac:dyDescent="0.25">
      <c r="A39">
        <v>37</v>
      </c>
      <c r="B39">
        <v>0.28225241201081103</v>
      </c>
      <c r="C39">
        <v>4.1498377321396003E-2</v>
      </c>
      <c r="D39">
        <v>73.927264085641099</v>
      </c>
      <c r="E39">
        <v>3.8316992972821699E-2</v>
      </c>
      <c r="F39">
        <v>73.927264085641099</v>
      </c>
      <c r="G39">
        <f>$R$2*(1-B39)</f>
        <v>1781.4495133891671</v>
      </c>
      <c r="H39">
        <f t="shared" si="0"/>
        <v>73.927264085640957</v>
      </c>
      <c r="I39">
        <f>G39*$P$4/(1-G39/$R$4*($R$4/$R$2-$P$4))</f>
        <v>56.985898588383463</v>
      </c>
      <c r="J39">
        <f t="shared" si="1"/>
        <v>3.1988500465538923E-2</v>
      </c>
      <c r="K39">
        <f t="shared" si="2"/>
        <v>0.28225241201080964</v>
      </c>
      <c r="L39">
        <f>1-(1-$P$4/C39)/($S$4-$P$4)*$S$4</f>
        <v>0.55331961797115259</v>
      </c>
      <c r="M39">
        <f t="shared" si="3"/>
        <v>46.007620390107085</v>
      </c>
    </row>
    <row r="40" spans="1:13" x14ac:dyDescent="0.25">
      <c r="A40">
        <v>38</v>
      </c>
      <c r="B40">
        <v>0.30874098726261001</v>
      </c>
      <c r="C40">
        <v>4.2969189747176798E-2</v>
      </c>
      <c r="D40">
        <v>73.722448092607905</v>
      </c>
      <c r="E40">
        <v>3.9347347467546402E-2</v>
      </c>
      <c r="F40">
        <v>73.722448092607905</v>
      </c>
      <c r="G40">
        <f>$R$2*(1-B40)</f>
        <v>1715.7048696142019</v>
      </c>
      <c r="H40">
        <f t="shared" si="0"/>
        <v>73.722448092607863</v>
      </c>
      <c r="I40">
        <f>G40*$P$4/(1-G40/$R$4*($R$4/$R$2-$P$4))</f>
        <v>56.140007174360861</v>
      </c>
      <c r="J40">
        <f t="shared" si="1"/>
        <v>3.2721249539254767E-2</v>
      </c>
      <c r="K40">
        <f t="shared" si="2"/>
        <v>0.30874098726260951</v>
      </c>
      <c r="L40">
        <f>1-(1-$P$4/C40)/($S$4-$P$4)*$S$4</f>
        <v>0.58452978506633113</v>
      </c>
      <c r="M40">
        <f t="shared" si="3"/>
        <v>44.309702716466731</v>
      </c>
    </row>
    <row r="41" spans="1:13" x14ac:dyDescent="0.25">
      <c r="A41">
        <v>39</v>
      </c>
      <c r="B41">
        <v>0.33309568532330902</v>
      </c>
      <c r="C41">
        <v>4.4321515879983099E-2</v>
      </c>
      <c r="D41">
        <v>73.363477650309804</v>
      </c>
      <c r="E41">
        <v>4.03784255546576E-2</v>
      </c>
      <c r="F41">
        <v>73.363477650309804</v>
      </c>
      <c r="G41">
        <f>$R$2*(1-B41)</f>
        <v>1655.2565090275471</v>
      </c>
      <c r="H41">
        <f t="shared" si="0"/>
        <v>73.363477650309818</v>
      </c>
      <c r="I41">
        <f>G41*$P$4/(1-G41/$R$4*($R$4/$R$2-$P$4))</f>
        <v>55.327327729281457</v>
      </c>
      <c r="J41">
        <f t="shared" si="1"/>
        <v>3.3425228916203399E-2</v>
      </c>
      <c r="K41">
        <f t="shared" si="2"/>
        <v>0.33309568532330835</v>
      </c>
      <c r="L41">
        <f>1-(1-$P$4/C41)/($S$4-$P$4)*$S$4</f>
        <v>0.61139787254654732</v>
      </c>
      <c r="M41">
        <f t="shared" si="3"/>
        <v>42.748566570775928</v>
      </c>
    </row>
    <row r="42" spans="1:13" x14ac:dyDescent="0.25">
      <c r="A42">
        <v>40</v>
      </c>
      <c r="B42">
        <v>0.35823484742287698</v>
      </c>
      <c r="C42">
        <v>4.5717400393902E-2</v>
      </c>
      <c r="D42">
        <v>72.821469078148795</v>
      </c>
      <c r="E42">
        <v>4.1409846533145798E-2</v>
      </c>
      <c r="F42">
        <v>72.821469078148795</v>
      </c>
      <c r="G42">
        <f>$R$2*(1-B42)</f>
        <v>1592.8611086964195</v>
      </c>
      <c r="H42">
        <f t="shared" si="0"/>
        <v>72.821469078148866</v>
      </c>
      <c r="I42">
        <f>G42*$P$4/(1-G42/$R$4*($R$4/$R$2-$P$4))</f>
        <v>54.450962582927879</v>
      </c>
      <c r="J42">
        <f t="shared" si="1"/>
        <v>3.4184375703346773E-2</v>
      </c>
      <c r="K42">
        <f t="shared" si="2"/>
        <v>0.35823484742287681</v>
      </c>
      <c r="L42">
        <f>1-(1-$P$4/C42)/($S$4-$P$4)*$S$4</f>
        <v>0.63746423557091236</v>
      </c>
      <c r="M42">
        <f t="shared" si="3"/>
        <v>41.137146280193583</v>
      </c>
    </row>
    <row r="43" spans="1:13" x14ac:dyDescent="0.25">
      <c r="A43">
        <v>41</v>
      </c>
      <c r="B43">
        <v>0.43302629251214297</v>
      </c>
      <c r="C43">
        <v>4.9870292187201397E-2</v>
      </c>
      <c r="D43">
        <v>70.178908537012902</v>
      </c>
      <c r="E43">
        <v>4.3998185442630497E-2</v>
      </c>
      <c r="F43">
        <v>70.178908537012902</v>
      </c>
      <c r="G43">
        <f>$R$2*(1-B43)</f>
        <v>1407.2287419848612</v>
      </c>
      <c r="H43">
        <f t="shared" si="0"/>
        <v>70.178908537012873</v>
      </c>
      <c r="I43">
        <f>G43*$P$4/(1-G43/$R$4*($R$4/$R$2-$P$4))</f>
        <v>51.591245006484549</v>
      </c>
      <c r="J43">
        <f t="shared" si="1"/>
        <v>3.6661591301579283E-2</v>
      </c>
      <c r="K43">
        <f t="shared" si="2"/>
        <v>0.43302629251214203</v>
      </c>
      <c r="L43">
        <f>1-(1-$P$4/C43)/($S$4-$P$4)*$S$4</f>
        <v>0.70638566220344612</v>
      </c>
      <c r="M43">
        <f t="shared" si="3"/>
        <v>36.3430146499717</v>
      </c>
    </row>
    <row r="44" spans="1:13" x14ac:dyDescent="0.25">
      <c r="A44">
        <v>42</v>
      </c>
      <c r="B44">
        <v>1</v>
      </c>
      <c r="C44">
        <v>0.226389985179063</v>
      </c>
      <c r="D44">
        <v>0</v>
      </c>
      <c r="E44">
        <v>0.17389138055530501</v>
      </c>
      <c r="F44">
        <v>0</v>
      </c>
      <c r="G44">
        <f>$R$2*(1-B44)</f>
        <v>0</v>
      </c>
      <c r="H44">
        <f t="shared" si="0"/>
        <v>0</v>
      </c>
      <c r="I44">
        <f>G44*$P$4/(1-G44/$R$4*($R$4/$R$2-$P$4))</f>
        <v>0</v>
      </c>
      <c r="J44">
        <f t="shared" si="1"/>
        <v>8.1352241145837181E-2</v>
      </c>
      <c r="K44">
        <f t="shared" si="2"/>
        <v>3.6120551674941916</v>
      </c>
      <c r="L44">
        <v>1</v>
      </c>
      <c r="M44">
        <f t="shared" si="3"/>
        <v>0</v>
      </c>
    </row>
    <row r="45" spans="1:13" x14ac:dyDescent="0.25">
      <c r="A45">
        <v>43</v>
      </c>
      <c r="B45">
        <v>1</v>
      </c>
      <c r="C45">
        <v>0.231746080398399</v>
      </c>
      <c r="D45">
        <v>0</v>
      </c>
      <c r="E45">
        <v>0.178005426463031</v>
      </c>
      <c r="F45">
        <v>0</v>
      </c>
      <c r="G45">
        <f>$R$2*(1-B45)</f>
        <v>0</v>
      </c>
      <c r="H45">
        <f t="shared" si="0"/>
        <v>0</v>
      </c>
      <c r="I45">
        <f>G45*$P$4/(1-G45/$R$4*($R$4/$R$2-$P$4))</f>
        <v>0</v>
      </c>
      <c r="J45">
        <f t="shared" si="1"/>
        <v>8.1352241145837181E-2</v>
      </c>
      <c r="K45">
        <f t="shared" si="2"/>
        <v>3.7085156873989455</v>
      </c>
      <c r="L45">
        <v>1</v>
      </c>
      <c r="M45">
        <f t="shared" si="3"/>
        <v>0</v>
      </c>
    </row>
    <row r="46" spans="1:13" x14ac:dyDescent="0.25">
      <c r="A46">
        <v>44</v>
      </c>
      <c r="B46">
        <v>1</v>
      </c>
      <c r="C46">
        <v>0.23710064008391099</v>
      </c>
      <c r="D46">
        <v>0</v>
      </c>
      <c r="E46">
        <v>0.182118292918864</v>
      </c>
      <c r="F46">
        <v>0</v>
      </c>
      <c r="G46">
        <f>$R$2*(1-B46)</f>
        <v>0</v>
      </c>
      <c r="H46">
        <f t="shared" si="0"/>
        <v>0</v>
      </c>
      <c r="I46">
        <f>G46*$P$4/(1-G46/$R$4*($R$4/$R$2-$P$4))</f>
        <v>0</v>
      </c>
      <c r="J46">
        <f t="shared" si="1"/>
        <v>8.1352241145837181E-2</v>
      </c>
      <c r="K46">
        <f t="shared" si="2"/>
        <v>3.8049485531293556</v>
      </c>
      <c r="L46">
        <v>1</v>
      </c>
      <c r="M46">
        <f t="shared" si="3"/>
        <v>0</v>
      </c>
    </row>
    <row r="47" spans="1:13" x14ac:dyDescent="0.25">
      <c r="A47">
        <v>45</v>
      </c>
      <c r="B47">
        <v>1</v>
      </c>
      <c r="C47">
        <v>0.24245363494856201</v>
      </c>
      <c r="D47">
        <v>0</v>
      </c>
      <c r="E47">
        <v>0.186229957427271</v>
      </c>
      <c r="F47">
        <v>0</v>
      </c>
      <c r="G47">
        <f>$R$2*(1-B47)</f>
        <v>0</v>
      </c>
      <c r="H47">
        <f t="shared" si="0"/>
        <v>0</v>
      </c>
      <c r="I47">
        <f>G47*$P$4/(1-G47/$R$4*($R$4/$R$2-$P$4))</f>
        <v>0</v>
      </c>
      <c r="J47">
        <f t="shared" si="1"/>
        <v>8.1352241145837181E-2</v>
      </c>
      <c r="K47">
        <f t="shared" si="2"/>
        <v>3.9013532372409512</v>
      </c>
      <c r="L47">
        <v>1</v>
      </c>
      <c r="M47">
        <f t="shared" si="3"/>
        <v>0</v>
      </c>
    </row>
    <row r="48" spans="1:13" x14ac:dyDescent="0.25">
      <c r="A48">
        <v>46</v>
      </c>
      <c r="B48">
        <v>1</v>
      </c>
      <c r="C48">
        <v>0.24780506636230601</v>
      </c>
      <c r="D48">
        <v>0</v>
      </c>
      <c r="E48">
        <v>0.19034042104052201</v>
      </c>
      <c r="F48">
        <v>0</v>
      </c>
      <c r="G48">
        <f>$R$2*(1-B48)</f>
        <v>0</v>
      </c>
      <c r="H48">
        <f t="shared" si="0"/>
        <v>0</v>
      </c>
      <c r="I48">
        <f>G48*$P$4/(1-G48/$R$4*($R$4/$R$2-$P$4))</f>
        <v>0</v>
      </c>
      <c r="J48">
        <f t="shared" si="1"/>
        <v>8.1352241145837181E-2</v>
      </c>
      <c r="K48">
        <f t="shared" si="2"/>
        <v>3.9977297644058978</v>
      </c>
      <c r="L48">
        <v>1</v>
      </c>
      <c r="M48">
        <f t="shared" si="3"/>
        <v>0</v>
      </c>
    </row>
    <row r="49" spans="1:13" x14ac:dyDescent="0.25">
      <c r="A49">
        <v>47</v>
      </c>
      <c r="B49">
        <v>1</v>
      </c>
      <c r="C49">
        <v>0.25315493569424402</v>
      </c>
      <c r="D49">
        <v>0</v>
      </c>
      <c r="E49">
        <v>0.194449684810231</v>
      </c>
      <c r="F49">
        <v>0</v>
      </c>
      <c r="G49">
        <f>$R$2*(1-B49)</f>
        <v>0</v>
      </c>
      <c r="H49">
        <f t="shared" si="0"/>
        <v>0</v>
      </c>
      <c r="I49">
        <f>G49*$P$4/(1-G49/$R$4*($R$4/$R$2-$P$4))</f>
        <v>0</v>
      </c>
      <c r="J49">
        <f t="shared" si="1"/>
        <v>8.1352241145837181E-2</v>
      </c>
      <c r="K49">
        <f t="shared" si="2"/>
        <v>4.0940781592810005</v>
      </c>
      <c r="L49">
        <v>1</v>
      </c>
      <c r="M49">
        <f t="shared" si="3"/>
        <v>0</v>
      </c>
    </row>
    <row r="50" spans="1:13" x14ac:dyDescent="0.25">
      <c r="A50">
        <v>48</v>
      </c>
      <c r="B50">
        <v>1</v>
      </c>
      <c r="C50">
        <v>0.25850324431150101</v>
      </c>
      <c r="D50">
        <v>0</v>
      </c>
      <c r="E50">
        <v>0.19855774978649299</v>
      </c>
      <c r="F50">
        <v>0</v>
      </c>
      <c r="G50">
        <f>$R$2*(1-B50)</f>
        <v>0</v>
      </c>
      <c r="H50">
        <f t="shared" si="0"/>
        <v>0</v>
      </c>
      <c r="I50">
        <f>G50*$P$4/(1-G50/$R$4*($R$4/$R$2-$P$4))</f>
        <v>0</v>
      </c>
      <c r="J50">
        <f t="shared" si="1"/>
        <v>8.1352241145837181E-2</v>
      </c>
      <c r="K50">
        <f t="shared" si="2"/>
        <v>4.1903984464874782</v>
      </c>
      <c r="L50">
        <v>1</v>
      </c>
      <c r="M50">
        <f t="shared" si="3"/>
        <v>0</v>
      </c>
    </row>
    <row r="51" spans="1:13" x14ac:dyDescent="0.25">
      <c r="A51">
        <v>49</v>
      </c>
      <c r="B51">
        <v>1</v>
      </c>
      <c r="C51">
        <v>0.26384999357918698</v>
      </c>
      <c r="D51">
        <v>0</v>
      </c>
      <c r="E51">
        <v>0.20266461701785801</v>
      </c>
      <c r="F51">
        <v>0</v>
      </c>
      <c r="G51">
        <f>$R$2*(1-B51)</f>
        <v>0</v>
      </c>
      <c r="H51">
        <f t="shared" si="0"/>
        <v>0</v>
      </c>
      <c r="I51">
        <f>G51*$P$4/(1-G51/$R$4*($R$4/$R$2-$P$4))</f>
        <v>0</v>
      </c>
      <c r="J51">
        <f t="shared" si="1"/>
        <v>8.1352241145837181E-2</v>
      </c>
      <c r="K51">
        <f t="shared" si="2"/>
        <v>4.2866906506102582</v>
      </c>
      <c r="L51">
        <v>1</v>
      </c>
      <c r="M51">
        <f t="shared" si="3"/>
        <v>0</v>
      </c>
    </row>
    <row r="52" spans="1:13" x14ac:dyDescent="0.25">
      <c r="A52">
        <v>50</v>
      </c>
      <c r="B52">
        <v>1</v>
      </c>
      <c r="C52">
        <v>0.26919518486043198</v>
      </c>
      <c r="D52">
        <v>0</v>
      </c>
      <c r="E52">
        <v>0.20677028755135199</v>
      </c>
      <c r="F52">
        <v>0</v>
      </c>
      <c r="G52">
        <f>$R$2*(1-B52)</f>
        <v>0</v>
      </c>
      <c r="H52">
        <f t="shared" si="0"/>
        <v>0</v>
      </c>
      <c r="I52">
        <f>G52*$P$4/(1-G52/$R$4*($R$4/$R$2-$P$4))</f>
        <v>0</v>
      </c>
      <c r="J52">
        <f t="shared" si="1"/>
        <v>8.1352241145837181E-2</v>
      </c>
      <c r="K52">
        <f t="shared" si="2"/>
        <v>4.3829547961986126</v>
      </c>
      <c r="L52">
        <v>1</v>
      </c>
      <c r="M52">
        <f t="shared" si="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HexSvS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Stapleton</dc:creator>
  <cp:lastModifiedBy>Scott Stapleton</cp:lastModifiedBy>
  <dcterms:created xsi:type="dcterms:W3CDTF">2015-06-05T18:17:20Z</dcterms:created>
  <dcterms:modified xsi:type="dcterms:W3CDTF">2021-12-20T14:25:26Z</dcterms:modified>
</cp:coreProperties>
</file>